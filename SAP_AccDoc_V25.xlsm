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135" yWindow="1215" windowWidth="12225" windowHeight="6780" tabRatio="274" activeTab="2"/>
  </bookViews>
  <sheets>
    <sheet name="Parameter" sheetId="3" r:id="rId1"/>
    <sheet name="Data_Pivot" sheetId="7" r:id="rId2"/>
    <sheet name="Data" sheetId="4" r:id="rId3"/>
    <sheet name="Basis" sheetId="5" r:id="rId4"/>
    <sheet name="Sheet2" sheetId="6" r:id="rId5"/>
  </sheets>
  <functionGroups builtInGroupCount="17"/>
  <definedNames>
    <definedName name="_DAT1">Data!#REF!</definedName>
    <definedName name="_DAT2">Data!#REF!</definedName>
    <definedName name="_DAT3">Data!#REF!</definedName>
    <definedName name="_DAT4">Data!#REF!</definedName>
    <definedName name="_DAT5">Data!#REF!</definedName>
    <definedName name="_DAT6">Data!#REF!</definedName>
    <definedName name="_DAT7">Data!#REF!</definedName>
    <definedName name="_DAT8">Data!#REF!</definedName>
    <definedName name="_DAT9">Data!#REF!</definedName>
    <definedName name="_xlnm.Print_Area" localSheetId="2">Data!$B$1:$AL$1</definedName>
    <definedName name="TEST0">Data!#REF!</definedName>
    <definedName name="TESTHKEY">Data!#REF!</definedName>
    <definedName name="TESTKEYS">Data!#REF!</definedName>
    <definedName name="TESTVKEY">Data!#REF!</definedName>
  </definedNames>
  <calcPr calcId="145621" refMode="R1C1"/>
  <pivotCaches>
    <pivotCache cacheId="0" r:id="rId6"/>
  </pivotCaches>
</workbook>
</file>

<file path=xl/calcChain.xml><?xml version="1.0" encoding="utf-8"?>
<calcChain xmlns="http://schemas.openxmlformats.org/spreadsheetml/2006/main">
  <c r="AI11" i="4" l="1"/>
  <c r="X11" i="4"/>
  <c r="AO11" i="4" s="1"/>
  <c r="AV11" i="4" s="1"/>
  <c r="I11" i="4"/>
  <c r="B11" i="4"/>
  <c r="AI10" i="4"/>
  <c r="X10" i="4"/>
  <c r="AO10" i="4" s="1"/>
  <c r="AV10" i="4" s="1"/>
  <c r="I10" i="4"/>
  <c r="B10" i="4"/>
  <c r="AI9" i="4"/>
  <c r="X9" i="4"/>
  <c r="AO9" i="4" s="1"/>
  <c r="AV9" i="4" s="1"/>
  <c r="I9" i="4"/>
  <c r="B9" i="4"/>
  <c r="AI7" i="4"/>
  <c r="X7" i="4"/>
  <c r="AO7" i="4" s="1"/>
  <c r="AV7" i="4" s="1"/>
  <c r="I7" i="4"/>
  <c r="B7" i="4"/>
  <c r="AI5" i="4"/>
  <c r="X5" i="4"/>
  <c r="AO5" i="4" s="1"/>
  <c r="AV5" i="4" s="1"/>
  <c r="I5" i="4"/>
  <c r="B5" i="4"/>
  <c r="AI4" i="4"/>
  <c r="X4" i="4"/>
  <c r="AO4" i="4" s="1"/>
  <c r="AV4" i="4" s="1"/>
  <c r="I4" i="4"/>
  <c r="B4" i="4"/>
  <c r="AI3" i="4"/>
  <c r="X3" i="4"/>
  <c r="AO3" i="4" s="1"/>
  <c r="AV3" i="4" s="1"/>
  <c r="I3" i="4"/>
  <c r="B3" i="4"/>
  <c r="AI2" i="4"/>
  <c r="X2" i="4"/>
  <c r="AO2" i="4" s="1"/>
  <c r="AV2" i="4" s="1"/>
  <c r="I2" i="4"/>
  <c r="B2" i="4"/>
  <c r="AF17" i="4"/>
  <c r="AF19" i="4"/>
  <c r="AF23" i="4"/>
  <c r="I22" i="4"/>
  <c r="I21" i="4"/>
  <c r="I20" i="4"/>
  <c r="I18" i="4"/>
  <c r="I16" i="4"/>
  <c r="I15" i="4"/>
  <c r="I14" i="4"/>
  <c r="I13" i="4"/>
  <c r="X22" i="4"/>
  <c r="X23" i="4" s="1"/>
  <c r="AO23" i="4" s="1"/>
  <c r="AV23" i="4" s="1"/>
  <c r="B22" i="4"/>
  <c r="X21" i="4"/>
  <c r="AO21" i="4" s="1"/>
  <c r="AV21" i="4" s="1"/>
  <c r="B21" i="4"/>
  <c r="X20" i="4"/>
  <c r="AO20" i="4" s="1"/>
  <c r="AV20" i="4" s="1"/>
  <c r="B20" i="4"/>
  <c r="X18" i="4"/>
  <c r="X19" i="4" s="1"/>
  <c r="AO19" i="4" s="1"/>
  <c r="AV19" i="4" s="1"/>
  <c r="B18" i="4"/>
  <c r="X16" i="4"/>
  <c r="X17" i="4" s="1"/>
  <c r="AO17" i="4" s="1"/>
  <c r="AV17" i="4" s="1"/>
  <c r="B16" i="4"/>
  <c r="X15" i="4"/>
  <c r="AO15" i="4" s="1"/>
  <c r="AV15" i="4" s="1"/>
  <c r="B15" i="4"/>
  <c r="X14" i="4"/>
  <c r="AO14" i="4" s="1"/>
  <c r="AV14" i="4" s="1"/>
  <c r="B14" i="4"/>
  <c r="X13" i="4"/>
  <c r="AO13" i="4" s="1"/>
  <c r="AV13" i="4" s="1"/>
  <c r="B13" i="4"/>
  <c r="AI13" i="4"/>
  <c r="AF12" i="4"/>
  <c r="AF8" i="4"/>
  <c r="AF6" i="4"/>
  <c r="AI22" i="4"/>
  <c r="X12" i="4"/>
  <c r="B12" i="4" s="1"/>
  <c r="AI16" i="4"/>
  <c r="X6" i="4"/>
  <c r="B6" i="4" s="1"/>
  <c r="AI15" i="4"/>
  <c r="AI6" i="4"/>
  <c r="AI17" i="4" s="1"/>
  <c r="AI21" i="4"/>
  <c r="AI12" i="4"/>
  <c r="AI23" i="4" s="1"/>
  <c r="AI8" i="4"/>
  <c r="AI19" i="4" s="1"/>
  <c r="X8" i="4"/>
  <c r="B8" i="4" s="1"/>
  <c r="B17" i="4" l="1"/>
  <c r="B19" i="4"/>
  <c r="B23" i="4"/>
  <c r="AO6" i="4"/>
  <c r="AV6" i="4" s="1"/>
  <c r="AO8" i="4"/>
  <c r="AV8" i="4" s="1"/>
  <c r="AO12" i="4"/>
  <c r="AV12" i="4" s="1"/>
  <c r="AO16" i="4"/>
  <c r="AV16" i="4" s="1"/>
  <c r="AO18" i="4"/>
  <c r="AV18" i="4" s="1"/>
  <c r="AO22" i="4"/>
  <c r="AV22" i="4" s="1"/>
  <c r="AI14" i="4"/>
  <c r="AI18" i="4"/>
  <c r="AI20" i="4"/>
  <c r="B3" i="3"/>
</calcChain>
</file>

<file path=xl/comments1.xml><?xml version="1.0" encoding="utf-8"?>
<comments xmlns="http://schemas.openxmlformats.org/spreadsheetml/2006/main">
  <authors>
    <author>Hermann Mundprecht</author>
  </authors>
  <commentList>
    <comment ref="L1" authorId="0">
      <text>
        <r>
          <rPr>
            <b/>
            <sz val="8"/>
            <color indexed="81"/>
            <rFont val="Tahoma"/>
            <family val="2"/>
          </rPr>
          <t>Hermann Mundprecht:</t>
        </r>
        <r>
          <rPr>
            <sz val="8"/>
            <color indexed="81"/>
            <rFont val="Tahoma"/>
            <family val="2"/>
          </rPr>
          <t xml:space="preserve">
Profitablity Analysis</t>
        </r>
      </text>
    </comment>
    <comment ref="AG1" authorId="0">
      <text>
        <r>
          <rPr>
            <b/>
            <sz val="8"/>
            <color indexed="81"/>
            <rFont val="Tahoma"/>
            <family val="2"/>
          </rPr>
          <t>Hermann Mundprecht:</t>
        </r>
        <r>
          <rPr>
            <sz val="8"/>
            <color indexed="81"/>
            <rFont val="Tahoma"/>
            <family val="2"/>
          </rPr>
          <t xml:space="preserve">
ONLY works if document is posted just in document currency !!!</t>
        </r>
      </text>
    </comment>
  </commentList>
</comments>
</file>

<file path=xl/sharedStrings.xml><?xml version="1.0" encoding="utf-8"?>
<sst xmlns="http://schemas.openxmlformats.org/spreadsheetml/2006/main" count="271" uniqueCount="161">
  <si>
    <t>Paramter</t>
  </si>
  <si>
    <t>Material</t>
  </si>
  <si>
    <t>Cost Center</t>
  </si>
  <si>
    <t>Order</t>
  </si>
  <si>
    <t>Amount</t>
  </si>
  <si>
    <t>Posting Date</t>
  </si>
  <si>
    <t>Value</t>
  </si>
  <si>
    <t>Obligatory</t>
  </si>
  <si>
    <t>Document Date</t>
  </si>
  <si>
    <t>Reference</t>
  </si>
  <si>
    <t>Company Code</t>
  </si>
  <si>
    <t>Currency</t>
  </si>
  <si>
    <t>Document Type</t>
  </si>
  <si>
    <t>Item-Text</t>
  </si>
  <si>
    <t>Plant</t>
  </si>
  <si>
    <t>Vendor</t>
  </si>
  <si>
    <t>Doc.Header Text</t>
  </si>
  <si>
    <t>PA</t>
  </si>
  <si>
    <t>SalesOrg</t>
  </si>
  <si>
    <t>DistChan</t>
  </si>
  <si>
    <t>Division</t>
  </si>
  <si>
    <t>Customer</t>
  </si>
  <si>
    <t>AccAssGrM</t>
  </si>
  <si>
    <t>Tax-Code</t>
  </si>
  <si>
    <t>Account</t>
  </si>
  <si>
    <t>PaymTerm</t>
  </si>
  <si>
    <t>BaseDate</t>
  </si>
  <si>
    <t>ProfCenter</t>
  </si>
  <si>
    <t>AllocNr</t>
  </si>
  <si>
    <t>Post</t>
  </si>
  <si>
    <t>SAP Msg</t>
  </si>
  <si>
    <t>PostDate</t>
  </si>
  <si>
    <t>DocDate</t>
  </si>
  <si>
    <t>HeaderText</t>
  </si>
  <si>
    <t>CompCode</t>
  </si>
  <si>
    <t>DocType</t>
  </si>
  <si>
    <t>DefaultValue</t>
  </si>
  <si>
    <t>Currency Type 2</t>
  </si>
  <si>
    <t>Currency 2</t>
  </si>
  <si>
    <t>Amount 2</t>
  </si>
  <si>
    <t>Amount 3</t>
  </si>
  <si>
    <t>Amount 4</t>
  </si>
  <si>
    <t>Currency Type 3</t>
  </si>
  <si>
    <t>Currency 3</t>
  </si>
  <si>
    <t>Currency Type 4</t>
  </si>
  <si>
    <t>Currency 4</t>
  </si>
  <si>
    <t>WBS</t>
  </si>
  <si>
    <t>EUR</t>
  </si>
  <si>
    <t>Segment</t>
  </si>
  <si>
    <t>Funct.Area</t>
  </si>
  <si>
    <t>Partner Company</t>
  </si>
  <si>
    <t>Business Area</t>
  </si>
  <si>
    <t>DocumentNumber</t>
  </si>
  <si>
    <t>Movement Type</t>
  </si>
  <si>
    <t>Accounting Principle</t>
  </si>
  <si>
    <t>Fiscal Period</t>
  </si>
  <si>
    <t>Acctg</t>
  </si>
  <si>
    <t>LedgerGrp</t>
  </si>
  <si>
    <t>Beschreibung</t>
  </si>
  <si>
    <t>Network</t>
  </si>
  <si>
    <t>Network Activity</t>
  </si>
  <si>
    <t>Partner Segment</t>
  </si>
  <si>
    <t>Partner ProfCenter</t>
  </si>
  <si>
    <t>Account Type</t>
  </si>
  <si>
    <t>Ergänzungstext</t>
  </si>
  <si>
    <t>HFM Country</t>
  </si>
  <si>
    <t>HFM Customergroup</t>
  </si>
  <si>
    <t>This is just for information (just info - for the user which Acounting principle to use for the Ledger Group)</t>
  </si>
  <si>
    <t>ALL0</t>
  </si>
  <si>
    <t>ZALL</t>
  </si>
  <si>
    <t>alle Ledger (f.CO-Integration)</t>
  </si>
  <si>
    <t>GAAP</t>
  </si>
  <si>
    <t>0L</t>
  </si>
  <si>
    <t>Group Ledger (CAN-GAAP)</t>
  </si>
  <si>
    <t>GAS</t>
  </si>
  <si>
    <t>ZL</t>
  </si>
  <si>
    <t>0L + 1L (Group Ledger + IFRS-Ledger)</t>
  </si>
  <si>
    <t>HR</t>
  </si>
  <si>
    <t>L2</t>
  </si>
  <si>
    <t>Handelsrecht Ledger</t>
  </si>
  <si>
    <t>IAS</t>
  </si>
  <si>
    <t>1L</t>
  </si>
  <si>
    <t>IFRS-Ledger</t>
  </si>
  <si>
    <t>LOCL</t>
  </si>
  <si>
    <t>L2 + L3 (Handels- und Steuerrechtsledger)</t>
  </si>
  <si>
    <t>SR</t>
  </si>
  <si>
    <t>L3</t>
  </si>
  <si>
    <t>Steuerrecht-Tax-ledger</t>
  </si>
  <si>
    <t>Material Type</t>
  </si>
  <si>
    <t>Reference Key 3</t>
  </si>
  <si>
    <t>Payment Block</t>
  </si>
  <si>
    <t>S</t>
  </si>
  <si>
    <t>CNY</t>
  </si>
  <si>
    <t>Table</t>
  </si>
  <si>
    <t/>
  </si>
  <si>
    <t>Fiscal year</t>
  </si>
  <si>
    <t>2016</t>
  </si>
  <si>
    <t>Actual</t>
  </si>
  <si>
    <t>Posting period</t>
  </si>
  <si>
    <t>7</t>
  </si>
  <si>
    <t>Billing-WBS (N)</t>
  </si>
  <si>
    <t>Business area</t>
  </si>
  <si>
    <t>Main-Project</t>
  </si>
  <si>
    <t>Main-Bill.-WBS</t>
  </si>
  <si>
    <t>C.11002</t>
  </si>
  <si>
    <t>BBA M13 Project_WH</t>
  </si>
  <si>
    <t>CN40</t>
  </si>
  <si>
    <t>C.08115</t>
  </si>
  <si>
    <t>BBA M13 Project</t>
  </si>
  <si>
    <t>CN15</t>
  </si>
  <si>
    <t>C.11012.01</t>
  </si>
  <si>
    <t>CF16 MS China Changchun</t>
  </si>
  <si>
    <t>CN41</t>
  </si>
  <si>
    <t>C.01550</t>
  </si>
  <si>
    <t>C.01550.01</t>
  </si>
  <si>
    <t>CF16 MS China</t>
  </si>
  <si>
    <t>C.11023.03.02.06</t>
  </si>
  <si>
    <t>Body in While/Doors</t>
  </si>
  <si>
    <t>CN43</t>
  </si>
  <si>
    <t>C.08209</t>
  </si>
  <si>
    <t>C.08209.01.02.06</t>
  </si>
  <si>
    <t>C.11025.03.02.09</t>
  </si>
  <si>
    <t>Electrics/Electronics</t>
  </si>
  <si>
    <t>C.08302</t>
  </si>
  <si>
    <t>C.08302.01</t>
  </si>
  <si>
    <t>Billable -Shanghai</t>
  </si>
  <si>
    <t>C.11115.01.01.06</t>
  </si>
  <si>
    <t>Body in White/Doors</t>
  </si>
  <si>
    <t>C.08200</t>
  </si>
  <si>
    <t>C.08200.01.01.06</t>
  </si>
  <si>
    <t>C.11116.03.04</t>
  </si>
  <si>
    <t>Industrial Services</t>
  </si>
  <si>
    <t>C.08202</t>
  </si>
  <si>
    <t>C.08202.01.04</t>
  </si>
  <si>
    <t>C.11125</t>
  </si>
  <si>
    <t>Geely NL-5 Tolerance Management_WH</t>
  </si>
  <si>
    <t>C.08181</t>
  </si>
  <si>
    <t>Geely NL-5 Tolerance Management</t>
  </si>
  <si>
    <t>C.11131.03</t>
  </si>
  <si>
    <t>Billable_Shengyang</t>
  </si>
  <si>
    <t>C.08229</t>
  </si>
  <si>
    <t>C.08229.01</t>
  </si>
  <si>
    <t>Billable_Shanghai</t>
  </si>
  <si>
    <t>BusinessArea</t>
  </si>
  <si>
    <t>IB-WB</t>
  </si>
  <si>
    <t>IB-Sales</t>
  </si>
  <si>
    <t>SHENYANG</t>
  </si>
  <si>
    <t>CC</t>
  </si>
  <si>
    <t>WUHAN</t>
  </si>
  <si>
    <t>intra branch sales 201607</t>
  </si>
  <si>
    <t>D</t>
  </si>
  <si>
    <t>K</t>
  </si>
  <si>
    <t>Row Labels</t>
  </si>
  <si>
    <t>Grand Total</t>
  </si>
  <si>
    <t>Sum of Amount</t>
  </si>
  <si>
    <t>Document posted successfully: BKPFF 220000004190152016 GTPCLNT060</t>
  </si>
  <si>
    <t>Document posted successfully: BKPFF 220000004290152016 GTPCLNT060</t>
  </si>
  <si>
    <t>Document posted successfully: BKPFF 220000004390152016 GTPCLNT060</t>
  </si>
  <si>
    <t>Document posted successfully: BKPFF 240000000190152016 GTPCLNT060</t>
  </si>
  <si>
    <t>Special GL Indicator</t>
  </si>
  <si>
    <t>$ GTPCLNT060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</si>
</sst>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[$€]\ * #,##0.00_-;\-[$€]\ * #,##0.00_-;_-[$€]\ * \-??_-;_-@_-"/>
    <numFmt numFmtId="165" formatCode="0000"/>
    <numFmt numFmtId="166" formatCode="00"/>
  </numFmts>
  <fonts count="29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b/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37"/>
      <name val="Calibri"/>
      <family val="2"/>
    </font>
    <font>
      <b/>
      <sz val="11"/>
      <color indexed="17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48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4"/>
      <name val="Calibri"/>
      <family val="2"/>
    </font>
    <font>
      <sz val="8"/>
      <color indexed="62"/>
      <name val="Arial"/>
      <family val="2"/>
    </font>
    <font>
      <b/>
      <sz val="10"/>
      <name val="Arial"/>
      <family val="2"/>
    </font>
  </fonts>
  <fills count="62">
    <fill>
      <patternFill patternType="none"/>
    </fill>
    <fill>
      <patternFill patternType="gray125"/>
    </fill>
    <fill>
      <patternFill patternType="solid">
        <fgColor indexed="22"/>
        <bgColor indexed="31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9"/>
      </patternFill>
    </fill>
    <fill>
      <patternFill patternType="solid">
        <fgColor indexed="40"/>
      </patternFill>
    </fill>
    <fill>
      <patternFill patternType="solid">
        <fgColor indexed="43"/>
      </patternFill>
    </fill>
    <fill>
      <patternFill patternType="solid">
        <fgColor rgb="FFFFFF00"/>
        <bgColor indexed="64"/>
      </patternFill>
    </fill>
    <fill>
      <patternFill patternType="solid">
        <fgColor indexed="60"/>
      </patternFill>
    </fill>
    <fill>
      <patternFill patternType="solid">
        <fgColor indexed="48"/>
        <bgColor indexed="48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25"/>
        <bgColor indexed="25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57"/>
        <bgColor indexed="57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18"/>
        <bgColor indexed="18"/>
      </patternFill>
    </fill>
    <fill>
      <patternFill patternType="solid">
        <fgColor indexed="55"/>
        <bgColor indexed="55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53"/>
        <bgColor indexed="53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43"/>
        <bgColor indexed="64"/>
      </patternFill>
    </fill>
    <fill>
      <patternFill patternType="solid">
        <fgColor indexed="45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44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indexed="58"/>
        <bgColor indexed="64"/>
      </patternFill>
    </fill>
  </fills>
  <borders count="31">
    <border>
      <left/>
      <right/>
      <top/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 style="thin">
        <color indexed="8"/>
      </right>
      <top/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64"/>
      </left>
      <right style="medium">
        <color indexed="8"/>
      </right>
      <top style="medium">
        <color indexed="64"/>
      </top>
      <bottom/>
      <diagonal/>
    </border>
    <border>
      <left style="thin">
        <color indexed="8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8"/>
      </right>
      <top/>
      <bottom/>
      <diagonal/>
    </border>
    <border>
      <left style="thin">
        <color indexed="8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8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/>
      <bottom style="double">
        <color indexed="1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double">
        <color indexed="48"/>
      </bottom>
      <diagonal/>
    </border>
  </borders>
  <cellStyleXfs count="134">
    <xf numFmtId="0" fontId="0" fillId="0" borderId="0"/>
    <xf numFmtId="164" fontId="1" fillId="0" borderId="0" applyFont="0" applyFill="0" applyAlignment="0" applyProtection="0"/>
    <xf numFmtId="4" fontId="5" fillId="0" borderId="1" applyNumberFormat="0" applyProtection="0">
      <alignment horizontal="right" vertical="center"/>
    </xf>
    <xf numFmtId="4" fontId="5" fillId="10" borderId="1" applyNumberFormat="0" applyProtection="0">
      <alignment horizontal="left" vertical="center" indent="1"/>
    </xf>
    <xf numFmtId="4" fontId="5" fillId="10" borderId="1" applyNumberFormat="0" applyProtection="0">
      <alignment horizontal="left" vertical="center" indent="1"/>
    </xf>
    <xf numFmtId="4" fontId="5" fillId="11" borderId="1" applyNumberFormat="0" applyProtection="0">
      <alignment horizontal="right" vertical="center"/>
    </xf>
    <xf numFmtId="4" fontId="5" fillId="12" borderId="1" applyNumberFormat="0" applyProtection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7" fillId="0" borderId="0"/>
    <xf numFmtId="0" fontId="5" fillId="14" borderId="0"/>
    <xf numFmtId="0" fontId="13" fillId="15" borderId="0" applyNumberFormat="0" applyBorder="0" applyAlignment="0" applyProtection="0"/>
    <xf numFmtId="0" fontId="14" fillId="16" borderId="0" applyNumberFormat="0" applyBorder="0" applyAlignment="0" applyProtection="0"/>
    <xf numFmtId="0" fontId="14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4" fillId="20" borderId="0" applyNumberFormat="0" applyBorder="0" applyAlignment="0" applyProtection="0"/>
    <xf numFmtId="0" fontId="14" fillId="21" borderId="0" applyNumberFormat="0" applyBorder="0" applyAlignment="0" applyProtection="0"/>
    <xf numFmtId="0" fontId="13" fillId="22" borderId="0" applyNumberFormat="0" applyBorder="0" applyAlignment="0" applyProtection="0"/>
    <xf numFmtId="0" fontId="13" fillId="23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4" fillId="20" borderId="0" applyNumberFormat="0" applyBorder="0" applyAlignment="0" applyProtection="0"/>
    <xf numFmtId="0" fontId="14" fillId="28" borderId="0" applyNumberFormat="0" applyBorder="0" applyAlignment="0" applyProtection="0"/>
    <xf numFmtId="0" fontId="13" fillId="21" borderId="0" applyNumberFormat="0" applyBorder="0" applyAlignment="0" applyProtection="0"/>
    <xf numFmtId="0" fontId="13" fillId="18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3" fillId="18" borderId="0" applyNumberFormat="0" applyBorder="0" applyAlignment="0" applyProtection="0"/>
    <xf numFmtId="0" fontId="13" fillId="31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3" fillId="34" borderId="0" applyNumberFormat="0" applyBorder="0" applyAlignment="0" applyProtection="0"/>
    <xf numFmtId="0" fontId="15" fillId="32" borderId="0" applyNumberFormat="0" applyBorder="0" applyAlignment="0" applyProtection="0"/>
    <xf numFmtId="0" fontId="16" fillId="35" borderId="1" applyNumberFormat="0" applyAlignment="0" applyProtection="0"/>
    <xf numFmtId="0" fontId="17" fillId="27" borderId="19" applyNumberFormat="0" applyAlignment="0" applyProtection="0"/>
    <xf numFmtId="0" fontId="18" fillId="36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4" fillId="25" borderId="0" applyNumberFormat="0" applyBorder="0" applyAlignment="0" applyProtection="0"/>
    <xf numFmtId="0" fontId="19" fillId="0" borderId="20" applyNumberFormat="0" applyFill="0" applyAlignment="0" applyProtection="0"/>
    <xf numFmtId="0" fontId="20" fillId="0" borderId="21" applyNumberFormat="0" applyFill="0" applyAlignment="0" applyProtection="0"/>
    <xf numFmtId="0" fontId="21" fillId="0" borderId="22" applyNumberFormat="0" applyFill="0" applyAlignment="0" applyProtection="0"/>
    <xf numFmtId="0" fontId="21" fillId="0" borderId="0" applyNumberFormat="0" applyFill="0" applyBorder="0" applyAlignment="0" applyProtection="0"/>
    <xf numFmtId="0" fontId="22" fillId="33" borderId="1" applyNumberFormat="0" applyAlignment="0" applyProtection="0"/>
    <xf numFmtId="0" fontId="23" fillId="0" borderId="23" applyNumberFormat="0" applyFill="0" applyAlignment="0" applyProtection="0"/>
    <xf numFmtId="0" fontId="23" fillId="33" borderId="0" applyNumberFormat="0" applyBorder="0" applyAlignment="0" applyProtection="0"/>
    <xf numFmtId="0" fontId="5" fillId="32" borderId="1" applyNumberFormat="0" applyFont="0" applyAlignment="0" applyProtection="0"/>
    <xf numFmtId="0" fontId="24" fillId="35" borderId="24" applyNumberFormat="0" applyAlignment="0" applyProtection="0"/>
    <xf numFmtId="4" fontId="27" fillId="39" borderId="1" applyNumberFormat="0" applyProtection="0">
      <alignment vertical="center"/>
    </xf>
    <xf numFmtId="4" fontId="5" fillId="39" borderId="1" applyNumberFormat="0" applyProtection="0">
      <alignment horizontal="left" vertical="center" indent="1"/>
    </xf>
    <xf numFmtId="0" fontId="10" fillId="12" borderId="25" applyNumberFormat="0" applyProtection="0">
      <alignment horizontal="left" vertical="top" indent="1"/>
    </xf>
    <xf numFmtId="4" fontId="5" fillId="40" borderId="1" applyNumberFormat="0" applyProtection="0">
      <alignment horizontal="right" vertical="center"/>
    </xf>
    <xf numFmtId="4" fontId="5" fillId="41" borderId="1" applyNumberFormat="0" applyProtection="0">
      <alignment horizontal="right" vertical="center"/>
    </xf>
    <xf numFmtId="4" fontId="5" fillId="42" borderId="26" applyNumberFormat="0" applyProtection="0">
      <alignment horizontal="right" vertical="center"/>
    </xf>
    <xf numFmtId="4" fontId="5" fillId="43" borderId="1" applyNumberFormat="0" applyProtection="0">
      <alignment horizontal="right" vertical="center"/>
    </xf>
    <xf numFmtId="4" fontId="5" fillId="44" borderId="1" applyNumberFormat="0" applyProtection="0">
      <alignment horizontal="right" vertical="center"/>
    </xf>
    <xf numFmtId="4" fontId="5" fillId="45" borderId="1" applyNumberFormat="0" applyProtection="0">
      <alignment horizontal="right" vertical="center"/>
    </xf>
    <xf numFmtId="4" fontId="5" fillId="46" borderId="1" applyNumberFormat="0" applyProtection="0">
      <alignment horizontal="right" vertical="center"/>
    </xf>
    <xf numFmtId="4" fontId="5" fillId="47" borderId="1" applyNumberFormat="0" applyProtection="0">
      <alignment horizontal="right" vertical="center"/>
    </xf>
    <xf numFmtId="4" fontId="5" fillId="48" borderId="1" applyNumberFormat="0" applyProtection="0">
      <alignment horizontal="right" vertical="center"/>
    </xf>
    <xf numFmtId="4" fontId="5" fillId="49" borderId="26" applyNumberFormat="0" applyProtection="0">
      <alignment horizontal="left" vertical="center" indent="1"/>
    </xf>
    <xf numFmtId="4" fontId="1" fillId="50" borderId="26" applyNumberFormat="0" applyProtection="0">
      <alignment horizontal="left" vertical="center" indent="1"/>
    </xf>
    <xf numFmtId="4" fontId="1" fillId="50" borderId="26" applyNumberFormat="0" applyProtection="0">
      <alignment horizontal="left" vertical="center" indent="1"/>
    </xf>
    <xf numFmtId="4" fontId="5" fillId="51" borderId="26" applyNumberFormat="0" applyProtection="0">
      <alignment horizontal="left" vertical="center" indent="1"/>
    </xf>
    <xf numFmtId="4" fontId="5" fillId="11" borderId="26" applyNumberFormat="0" applyProtection="0">
      <alignment horizontal="left" vertical="center" indent="1"/>
    </xf>
    <xf numFmtId="0" fontId="5" fillId="52" borderId="1" applyNumberFormat="0" applyProtection="0">
      <alignment horizontal="left" vertical="center" indent="1"/>
    </xf>
    <xf numFmtId="0" fontId="5" fillId="50" borderId="25" applyNumberFormat="0" applyProtection="0">
      <alignment horizontal="left" vertical="top" indent="1"/>
    </xf>
    <xf numFmtId="0" fontId="5" fillId="53" borderId="1" applyNumberFormat="0" applyProtection="0">
      <alignment horizontal="left" vertical="center" indent="1"/>
    </xf>
    <xf numFmtId="0" fontId="5" fillId="11" borderId="25" applyNumberFormat="0" applyProtection="0">
      <alignment horizontal="left" vertical="top" indent="1"/>
    </xf>
    <xf numFmtId="0" fontId="5" fillId="54" borderId="1" applyNumberFormat="0" applyProtection="0">
      <alignment horizontal="left" vertical="center" indent="1"/>
    </xf>
    <xf numFmtId="0" fontId="5" fillId="54" borderId="25" applyNumberFormat="0" applyProtection="0">
      <alignment horizontal="left" vertical="top" indent="1"/>
    </xf>
    <xf numFmtId="0" fontId="5" fillId="51" borderId="1" applyNumberFormat="0" applyProtection="0">
      <alignment horizontal="left" vertical="center" indent="1"/>
    </xf>
    <xf numFmtId="0" fontId="5" fillId="51" borderId="25" applyNumberFormat="0" applyProtection="0">
      <alignment horizontal="left" vertical="top" indent="1"/>
    </xf>
    <xf numFmtId="0" fontId="5" fillId="55" borderId="27" applyNumberFormat="0">
      <protection locked="0"/>
    </xf>
    <xf numFmtId="0" fontId="8" fillId="50" borderId="28" applyBorder="0"/>
    <xf numFmtId="4" fontId="9" fillId="56" borderId="25" applyNumberFormat="0" applyProtection="0">
      <alignment vertical="center"/>
    </xf>
    <xf numFmtId="4" fontId="27" fillId="57" borderId="29" applyNumberFormat="0" applyProtection="0">
      <alignment vertical="center"/>
    </xf>
    <xf numFmtId="4" fontId="9" fillId="52" borderId="25" applyNumberFormat="0" applyProtection="0">
      <alignment horizontal="left" vertical="center" indent="1"/>
    </xf>
    <xf numFmtId="0" fontId="9" fillId="56" borderId="25" applyNumberFormat="0" applyProtection="0">
      <alignment horizontal="left" vertical="top" indent="1"/>
    </xf>
    <xf numFmtId="4" fontId="27" fillId="58" borderId="1" applyNumberFormat="0" applyProtection="0">
      <alignment horizontal="right" vertical="center"/>
    </xf>
    <xf numFmtId="0" fontId="9" fillId="11" borderId="25" applyNumberFormat="0" applyProtection="0">
      <alignment horizontal="left" vertical="top" indent="1"/>
    </xf>
    <xf numFmtId="4" fontId="11" fillId="59" borderId="26" applyNumberFormat="0" applyProtection="0">
      <alignment horizontal="left" vertical="center" indent="1"/>
    </xf>
    <xf numFmtId="0" fontId="5" fillId="60" borderId="29"/>
    <xf numFmtId="4" fontId="12" fillId="55" borderId="1" applyNumberFormat="0" applyProtection="0">
      <alignment horizontal="right" vertical="center"/>
    </xf>
    <xf numFmtId="0" fontId="25" fillId="0" borderId="0" applyNumberFormat="0" applyFill="0" applyBorder="0" applyAlignment="0" applyProtection="0"/>
    <xf numFmtId="0" fontId="18" fillId="0" borderId="30" applyNumberFormat="0" applyFill="0" applyAlignment="0" applyProtection="0"/>
    <xf numFmtId="0" fontId="26" fillId="0" borderId="0" applyNumberFormat="0" applyFill="0" applyBorder="0" applyAlignment="0" applyProtection="0"/>
    <xf numFmtId="0" fontId="13" fillId="15" borderId="0" applyNumberFormat="0" applyBorder="0" applyAlignment="0" applyProtection="0"/>
    <xf numFmtId="0" fontId="13" fillId="19" borderId="0" applyNumberFormat="0" applyBorder="0" applyAlignment="0" applyProtection="0"/>
    <xf numFmtId="0" fontId="13" fillId="23" borderId="0" applyNumberFormat="0" applyBorder="0" applyAlignment="0" applyProtection="0"/>
    <xf numFmtId="0" fontId="13" fillId="27" borderId="0" applyNumberFormat="0" applyBorder="0" applyAlignment="0" applyProtection="0"/>
    <xf numFmtId="0" fontId="13" fillId="18" borderId="0" applyNumberFormat="0" applyBorder="0" applyAlignment="0" applyProtection="0"/>
    <xf numFmtId="0" fontId="13" fillId="31" borderId="0" applyNumberFormat="0" applyBorder="0" applyAlignment="0" applyProtection="0"/>
    <xf numFmtId="0" fontId="13" fillId="15" borderId="0" applyNumberFormat="0" applyBorder="0" applyAlignment="0" applyProtection="0"/>
    <xf numFmtId="0" fontId="13" fillId="19" borderId="0" applyNumberFormat="0" applyBorder="0" applyAlignment="0" applyProtection="0"/>
    <xf numFmtId="0" fontId="13" fillId="23" borderId="0" applyNumberFormat="0" applyBorder="0" applyAlignment="0" applyProtection="0"/>
    <xf numFmtId="0" fontId="13" fillId="27" borderId="0" applyNumberFormat="0" applyBorder="0" applyAlignment="0" applyProtection="0"/>
    <xf numFmtId="0" fontId="13" fillId="18" borderId="0" applyNumberFormat="0" applyBorder="0" applyAlignment="0" applyProtection="0"/>
    <xf numFmtId="0" fontId="13" fillId="31" borderId="0" applyNumberFormat="0" applyBorder="0" applyAlignment="0" applyProtection="0"/>
  </cellStyleXfs>
  <cellXfs count="70">
    <xf numFmtId="0" fontId="1" fillId="0" borderId="0" xfId="0" applyFont="1"/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165" fontId="1" fillId="0" borderId="2" xfId="0" applyNumberFormat="1" applyFont="1" applyBorder="1" applyAlignment="1">
      <alignment horizontal="right"/>
    </xf>
    <xf numFmtId="14" fontId="1" fillId="0" borderId="2" xfId="0" applyNumberFormat="1" applyFont="1" applyFill="1" applyBorder="1" applyAlignment="1">
      <alignment horizontal="right"/>
    </xf>
    <xf numFmtId="0" fontId="0" fillId="0" borderId="0" xfId="0" applyFill="1"/>
    <xf numFmtId="0" fontId="1" fillId="2" borderId="3" xfId="0" applyFont="1" applyFill="1" applyBorder="1"/>
    <xf numFmtId="0" fontId="1" fillId="2" borderId="4" xfId="0" applyFont="1" applyFill="1" applyBorder="1" applyAlignment="1">
      <alignment horizontal="right"/>
    </xf>
    <xf numFmtId="0" fontId="1" fillId="2" borderId="5" xfId="0" applyFont="1" applyFill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9" xfId="0" applyFont="1" applyBorder="1"/>
    <xf numFmtId="4" fontId="0" fillId="0" borderId="0" xfId="0" applyNumberFormat="1" applyFill="1" applyAlignment="1">
      <alignment horizontal="right"/>
    </xf>
    <xf numFmtId="166" fontId="0" fillId="0" borderId="0" xfId="0" applyNumberFormat="1" applyFill="1"/>
    <xf numFmtId="0" fontId="0" fillId="3" borderId="10" xfId="0" applyFill="1" applyBorder="1" applyAlignment="1">
      <alignment horizontal="center" textRotation="90"/>
    </xf>
    <xf numFmtId="0" fontId="0" fillId="4" borderId="10" xfId="0" applyFill="1" applyBorder="1" applyAlignment="1">
      <alignment horizontal="center" textRotation="90"/>
    </xf>
    <xf numFmtId="49" fontId="0" fillId="5" borderId="10" xfId="0" applyNumberFormat="1" applyFill="1" applyBorder="1" applyAlignment="1">
      <alignment horizontal="center" textRotation="90"/>
    </xf>
    <xf numFmtId="166" fontId="0" fillId="5" borderId="10" xfId="0" applyNumberFormat="1" applyFill="1" applyBorder="1" applyAlignment="1">
      <alignment horizontal="center" textRotation="90"/>
    </xf>
    <xf numFmtId="49" fontId="0" fillId="6" borderId="10" xfId="0" applyNumberFormat="1" applyFill="1" applyBorder="1" applyAlignment="1">
      <alignment horizontal="center" textRotation="90"/>
    </xf>
    <xf numFmtId="4" fontId="0" fillId="3" borderId="10" xfId="0" applyNumberFormat="1" applyFill="1" applyBorder="1" applyAlignment="1">
      <alignment horizontal="center" textRotation="90"/>
    </xf>
    <xf numFmtId="0" fontId="2" fillId="7" borderId="0" xfId="0" applyFont="1" applyFill="1" applyAlignment="1">
      <alignment horizontal="center" textRotation="90"/>
    </xf>
    <xf numFmtId="0" fontId="2" fillId="0" borderId="0" xfId="0" applyFont="1" applyFill="1" applyAlignment="1">
      <alignment horizontal="center" textRotation="90"/>
    </xf>
    <xf numFmtId="0" fontId="2" fillId="3" borderId="0" xfId="0" applyFont="1" applyFill="1" applyAlignment="1">
      <alignment horizontal="center" textRotation="90"/>
    </xf>
    <xf numFmtId="0" fontId="2" fillId="8" borderId="0" xfId="0" applyFont="1" applyFill="1" applyAlignment="1">
      <alignment horizontal="center" textRotation="90"/>
    </xf>
    <xf numFmtId="4" fontId="0" fillId="0" borderId="0" xfId="0" applyNumberFormat="1" applyFill="1"/>
    <xf numFmtId="0" fontId="1" fillId="0" borderId="11" xfId="0" applyFont="1" applyBorder="1"/>
    <xf numFmtId="0" fontId="1" fillId="0" borderId="12" xfId="0" applyFont="1" applyBorder="1"/>
    <xf numFmtId="0" fontId="1" fillId="0" borderId="13" xfId="0" applyFont="1" applyBorder="1"/>
    <xf numFmtId="0" fontId="1" fillId="0" borderId="16" xfId="0" applyFont="1" applyFill="1" applyBorder="1"/>
    <xf numFmtId="0" fontId="1" fillId="0" borderId="17" xfId="0" applyFont="1" applyFill="1" applyBorder="1"/>
    <xf numFmtId="0" fontId="1" fillId="0" borderId="18" xfId="0" applyFont="1" applyFill="1" applyBorder="1"/>
    <xf numFmtId="0" fontId="1" fillId="0" borderId="16" xfId="0" quotePrefix="1" applyFont="1" applyBorder="1" applyAlignment="1">
      <alignment horizontal="right"/>
    </xf>
    <xf numFmtId="165" fontId="0" fillId="0" borderId="17" xfId="0" applyNumberFormat="1" applyBorder="1" applyAlignment="1">
      <alignment horizontal="right"/>
    </xf>
    <xf numFmtId="0" fontId="1" fillId="0" borderId="17" xfId="0" quotePrefix="1" applyFont="1" applyBorder="1" applyAlignment="1">
      <alignment horizontal="right"/>
    </xf>
    <xf numFmtId="0" fontId="1" fillId="0" borderId="17" xfId="0" applyFont="1" applyBorder="1" applyAlignment="1">
      <alignment horizontal="right"/>
    </xf>
    <xf numFmtId="165" fontId="0" fillId="0" borderId="18" xfId="0" applyNumberFormat="1" applyBorder="1" applyAlignment="1">
      <alignment horizontal="right"/>
    </xf>
    <xf numFmtId="0" fontId="0" fillId="7" borderId="10" xfId="0" applyNumberFormat="1" applyFill="1" applyBorder="1" applyAlignment="1">
      <alignment horizontal="center" textRotation="90"/>
    </xf>
    <xf numFmtId="0" fontId="0" fillId="0" borderId="0" xfId="0" applyNumberFormat="1" applyFill="1"/>
    <xf numFmtId="49" fontId="2" fillId="3" borderId="0" xfId="0" applyNumberFormat="1" applyFont="1" applyFill="1" applyAlignment="1">
      <alignment horizontal="center" textRotation="90"/>
    </xf>
    <xf numFmtId="49" fontId="0" fillId="0" borderId="0" xfId="0" applyNumberFormat="1" applyFill="1"/>
    <xf numFmtId="0" fontId="1" fillId="7" borderId="0" xfId="0" applyFont="1" applyFill="1" applyAlignment="1">
      <alignment horizontal="center" textRotation="90"/>
    </xf>
    <xf numFmtId="0" fontId="1" fillId="0" borderId="0" xfId="0" applyFont="1" applyAlignment="1">
      <alignment horizontal="right"/>
    </xf>
    <xf numFmtId="0" fontId="0" fillId="0" borderId="0" xfId="0" applyNumberFormat="1" applyBorder="1" applyAlignment="1">
      <alignment horizontal="right"/>
    </xf>
    <xf numFmtId="0" fontId="1" fillId="9" borderId="0" xfId="0" applyNumberFormat="1" applyFont="1" applyFill="1" applyBorder="1" applyAlignment="1">
      <alignment horizontal="center" textRotation="90"/>
    </xf>
    <xf numFmtId="0" fontId="0" fillId="0" borderId="0" xfId="0" applyNumberFormat="1" applyFill="1" applyAlignment="1">
      <alignment horizontal="right"/>
    </xf>
    <xf numFmtId="0" fontId="0" fillId="4" borderId="10" xfId="0" applyNumberFormat="1" applyFill="1" applyBorder="1" applyAlignment="1">
      <alignment horizontal="center" textRotation="90"/>
    </xf>
    <xf numFmtId="165" fontId="1" fillId="0" borderId="2" xfId="0" quotePrefix="1" applyNumberFormat="1" applyFont="1" applyBorder="1" applyAlignment="1">
      <alignment horizontal="right"/>
    </xf>
    <xf numFmtId="0" fontId="0" fillId="3" borderId="10" xfId="0" applyNumberFormat="1" applyFill="1" applyBorder="1" applyAlignment="1">
      <alignment horizontal="center" textRotation="90"/>
    </xf>
    <xf numFmtId="49" fontId="1" fillId="4" borderId="10" xfId="0" applyNumberFormat="1" applyFont="1" applyFill="1" applyBorder="1" applyAlignment="1">
      <alignment horizontal="center" textRotation="90"/>
    </xf>
    <xf numFmtId="0" fontId="1" fillId="7" borderId="10" xfId="0" applyNumberFormat="1" applyFont="1" applyFill="1" applyBorder="1" applyAlignment="1">
      <alignment horizontal="center" textRotation="90"/>
    </xf>
    <xf numFmtId="0" fontId="1" fillId="3" borderId="15" xfId="0" applyFont="1" applyFill="1" applyBorder="1" applyAlignment="1">
      <alignment horizontal="center" textRotation="90"/>
    </xf>
    <xf numFmtId="0" fontId="0" fillId="13" borderId="10" xfId="0" applyNumberFormat="1" applyFill="1" applyBorder="1" applyAlignment="1">
      <alignment horizontal="center" textRotation="90"/>
    </xf>
    <xf numFmtId="14" fontId="1" fillId="7" borderId="14" xfId="0" quotePrefix="1" applyNumberFormat="1" applyFont="1" applyFill="1" applyBorder="1" applyAlignment="1">
      <alignment horizontal="right"/>
    </xf>
    <xf numFmtId="0" fontId="1" fillId="0" borderId="0" xfId="0" applyNumberFormat="1" applyFont="1" applyFill="1"/>
    <xf numFmtId="0" fontId="1" fillId="0" borderId="0" xfId="0" applyFont="1" applyFill="1"/>
    <xf numFmtId="165" fontId="1" fillId="0" borderId="17" xfId="0" applyNumberFormat="1" applyFont="1" applyBorder="1" applyAlignment="1">
      <alignment horizontal="right"/>
    </xf>
    <xf numFmtId="0" fontId="1" fillId="0" borderId="0" xfId="0" quotePrefix="1" applyFont="1" applyFill="1"/>
    <xf numFmtId="0" fontId="1" fillId="0" borderId="0" xfId="0" quotePrefix="1" applyNumberFormat="1" applyFont="1" applyFill="1"/>
    <xf numFmtId="0" fontId="1" fillId="0" borderId="0" xfId="0" applyFont="1" applyAlignment="1">
      <alignment horizontal="left" indent="2"/>
    </xf>
    <xf numFmtId="0" fontId="1" fillId="0" borderId="0" xfId="0" applyFont="1" applyAlignment="1">
      <alignment horizontal="left" indent="1"/>
    </xf>
    <xf numFmtId="4" fontId="1" fillId="0" borderId="0" xfId="0" applyNumberFormat="1" applyFont="1"/>
    <xf numFmtId="0" fontId="1" fillId="0" borderId="0" xfId="0" applyFont="1" applyAlignment="1">
      <alignment horizontal="left"/>
    </xf>
    <xf numFmtId="0" fontId="1" fillId="0" borderId="0" xfId="0" pivotButton="1" applyFont="1"/>
    <xf numFmtId="0" fontId="1" fillId="0" borderId="0" xfId="0" applyFont="1" applyFill="1" applyBorder="1"/>
    <xf numFmtId="0" fontId="28" fillId="61" borderId="0" xfId="42" applyFont="1" applyFill="1"/>
    <xf numFmtId="0" fontId="5" fillId="10" borderId="1" xfId="3" quotePrefix="1" applyNumberFormat="1">
      <alignment horizontal="left" vertical="center" indent="1"/>
    </xf>
    <xf numFmtId="0" fontId="5" fillId="10" borderId="1" xfId="4" quotePrefix="1" applyNumberFormat="1">
      <alignment horizontal="left" vertical="center" indent="1"/>
    </xf>
    <xf numFmtId="0" fontId="5" fillId="11" borderId="1" xfId="5" quotePrefix="1" applyNumberFormat="1">
      <alignment horizontal="right" vertical="center"/>
    </xf>
    <xf numFmtId="4" fontId="5" fillId="0" borderId="1" xfId="2" applyNumberFormat="1">
      <alignment horizontal="right" vertical="center"/>
    </xf>
  </cellXfs>
  <cellStyles count="134">
    <cellStyle name="Accent1 - 20%" xfId="44"/>
    <cellStyle name="Accent1 - 40%" xfId="45"/>
    <cellStyle name="Accent1 - 60%" xfId="46"/>
    <cellStyle name="Accent1 2" xfId="43"/>
    <cellStyle name="Accent1 3" xfId="122"/>
    <cellStyle name="Accent1 4" xfId="128"/>
    <cellStyle name="Accent2 - 20%" xfId="48"/>
    <cellStyle name="Accent2 - 40%" xfId="49"/>
    <cellStyle name="Accent2 - 60%" xfId="50"/>
    <cellStyle name="Accent2 2" xfId="47"/>
    <cellStyle name="Accent2 3" xfId="123"/>
    <cellStyle name="Accent2 4" xfId="129"/>
    <cellStyle name="Accent3 - 20%" xfId="52"/>
    <cellStyle name="Accent3 - 40%" xfId="53"/>
    <cellStyle name="Accent3 - 60%" xfId="54"/>
    <cellStyle name="Accent3 2" xfId="51"/>
    <cellStyle name="Accent3 3" xfId="124"/>
    <cellStyle name="Accent3 4" xfId="130"/>
    <cellStyle name="Accent4 - 20%" xfId="56"/>
    <cellStyle name="Accent4 - 40%" xfId="57"/>
    <cellStyle name="Accent4 - 60%" xfId="58"/>
    <cellStyle name="Accent4 2" xfId="55"/>
    <cellStyle name="Accent4 3" xfId="125"/>
    <cellStyle name="Accent4 4" xfId="131"/>
    <cellStyle name="Accent5 - 20%" xfId="60"/>
    <cellStyle name="Accent5 - 40%" xfId="61"/>
    <cellStyle name="Accent5 - 60%" xfId="62"/>
    <cellStyle name="Accent5 2" xfId="59"/>
    <cellStyle name="Accent5 3" xfId="126"/>
    <cellStyle name="Accent5 4" xfId="132"/>
    <cellStyle name="Accent6 - 20%" xfId="64"/>
    <cellStyle name="Accent6 - 40%" xfId="65"/>
    <cellStyle name="Accent6 - 60%" xfId="66"/>
    <cellStyle name="Accent6 2" xfId="63"/>
    <cellStyle name="Accent6 3" xfId="127"/>
    <cellStyle name="Accent6 4" xfId="133"/>
    <cellStyle name="Bad 2" xfId="67"/>
    <cellStyle name="Calculation 2" xfId="68"/>
    <cellStyle name="Check Cell 2" xfId="69"/>
    <cellStyle name="Emphasis 1" xfId="70"/>
    <cellStyle name="Emphasis 2" xfId="71"/>
    <cellStyle name="Emphasis 3" xfId="72"/>
    <cellStyle name="Euro" xfId="1"/>
    <cellStyle name="Good 2" xfId="73"/>
    <cellStyle name="Heading 1 2" xfId="74"/>
    <cellStyle name="Heading 2 2" xfId="75"/>
    <cellStyle name="Heading 3 2" xfId="76"/>
    <cellStyle name="Heading 4 2" xfId="77"/>
    <cellStyle name="Input 2" xfId="78"/>
    <cellStyle name="Linked Cell 2" xfId="79"/>
    <cellStyle name="Neutral 2" xfId="80"/>
    <cellStyle name="Normal" xfId="0" builtinId="0"/>
    <cellStyle name="Normal 2" xfId="42"/>
    <cellStyle name="Note 2" xfId="81"/>
    <cellStyle name="Output 2" xfId="82"/>
    <cellStyle name="SAPBEXaggData" xfId="6"/>
    <cellStyle name="SAPBEXaggDataEmph" xfId="7"/>
    <cellStyle name="SAPBEXaggDataEmph 2" xfId="83"/>
    <cellStyle name="SAPBEXaggItem" xfId="8"/>
    <cellStyle name="SAPBEXaggItem 2" xfId="84"/>
    <cellStyle name="SAPBEXaggItemX" xfId="9"/>
    <cellStyle name="SAPBEXaggItemX 2" xfId="85"/>
    <cellStyle name="SAPBEXchaText" xfId="3"/>
    <cellStyle name="SAPBEXexcBad7" xfId="10"/>
    <cellStyle name="SAPBEXexcBad7 2" xfId="86"/>
    <cellStyle name="SAPBEXexcBad8" xfId="11"/>
    <cellStyle name="SAPBEXexcBad8 2" xfId="87"/>
    <cellStyle name="SAPBEXexcBad9" xfId="12"/>
    <cellStyle name="SAPBEXexcBad9 2" xfId="88"/>
    <cellStyle name="SAPBEXexcCritical4" xfId="13"/>
    <cellStyle name="SAPBEXexcCritical4 2" xfId="89"/>
    <cellStyle name="SAPBEXexcCritical5" xfId="14"/>
    <cellStyle name="SAPBEXexcCritical5 2" xfId="90"/>
    <cellStyle name="SAPBEXexcCritical6" xfId="15"/>
    <cellStyle name="SAPBEXexcCritical6 2" xfId="91"/>
    <cellStyle name="SAPBEXexcGood1" xfId="16"/>
    <cellStyle name="SAPBEXexcGood1 2" xfId="92"/>
    <cellStyle name="SAPBEXexcGood2" xfId="17"/>
    <cellStyle name="SAPBEXexcGood2 2" xfId="93"/>
    <cellStyle name="SAPBEXexcGood3" xfId="18"/>
    <cellStyle name="SAPBEXexcGood3 2" xfId="94"/>
    <cellStyle name="SAPBEXfilterDrill" xfId="19"/>
    <cellStyle name="SAPBEXfilterDrill 2" xfId="95"/>
    <cellStyle name="SAPBEXfilterItem" xfId="20"/>
    <cellStyle name="SAPBEXfilterItem 2" xfId="96"/>
    <cellStyle name="SAPBEXfilterText" xfId="21"/>
    <cellStyle name="SAPBEXfilterText 2" xfId="97"/>
    <cellStyle name="SAPBEXformats" xfId="5"/>
    <cellStyle name="SAPBEXheaderItem" xfId="22"/>
    <cellStyle name="SAPBEXheaderItem 2" xfId="98"/>
    <cellStyle name="SAPBEXheaderText" xfId="23"/>
    <cellStyle name="SAPBEXheaderText 2" xfId="99"/>
    <cellStyle name="SAPBEXHLevel0" xfId="24"/>
    <cellStyle name="SAPBEXHLevel0 2" xfId="100"/>
    <cellStyle name="SAPBEXHLevel0X" xfId="25"/>
    <cellStyle name="SAPBEXHLevel0X 2" xfId="101"/>
    <cellStyle name="SAPBEXHLevel1" xfId="26"/>
    <cellStyle name="SAPBEXHLevel1 2" xfId="102"/>
    <cellStyle name="SAPBEXHLevel1X" xfId="27"/>
    <cellStyle name="SAPBEXHLevel1X 2" xfId="103"/>
    <cellStyle name="SAPBEXHLevel2" xfId="28"/>
    <cellStyle name="SAPBEXHLevel2 2" xfId="104"/>
    <cellStyle name="SAPBEXHLevel2X" xfId="29"/>
    <cellStyle name="SAPBEXHLevel2X 2" xfId="105"/>
    <cellStyle name="SAPBEXHLevel3" xfId="30"/>
    <cellStyle name="SAPBEXHLevel3 2" xfId="106"/>
    <cellStyle name="SAPBEXHLevel3X" xfId="31"/>
    <cellStyle name="SAPBEXHLevel3X 2" xfId="107"/>
    <cellStyle name="SAPBEXinputData" xfId="32"/>
    <cellStyle name="SAPBEXinputData 2" xfId="108"/>
    <cellStyle name="SAPBEXItemHeader" xfId="109"/>
    <cellStyle name="SAPBEXresData" xfId="33"/>
    <cellStyle name="SAPBEXresData 2" xfId="110"/>
    <cellStyle name="SAPBEXresDataEmph" xfId="34"/>
    <cellStyle name="SAPBEXresDataEmph 2" xfId="111"/>
    <cellStyle name="SAPBEXresItem" xfId="35"/>
    <cellStyle name="SAPBEXresItem 2" xfId="112"/>
    <cellStyle name="SAPBEXresItemX" xfId="36"/>
    <cellStyle name="SAPBEXresItemX 2" xfId="113"/>
    <cellStyle name="SAPBEXstdData" xfId="2"/>
    <cellStyle name="SAPBEXstdDataEmph" xfId="37"/>
    <cellStyle name="SAPBEXstdDataEmph 2" xfId="114"/>
    <cellStyle name="SAPBEXstdItem" xfId="4"/>
    <cellStyle name="SAPBEXstdItemX" xfId="38"/>
    <cellStyle name="SAPBEXstdItemX 2" xfId="115"/>
    <cellStyle name="SAPBEXtitle" xfId="39"/>
    <cellStyle name="SAPBEXtitle 2" xfId="116"/>
    <cellStyle name="SAPBEXunassignedItem" xfId="117"/>
    <cellStyle name="SAPBEXundefined" xfId="40"/>
    <cellStyle name="SAPBEXundefined 2" xfId="118"/>
    <cellStyle name="Sheet Title" xfId="119"/>
    <cellStyle name="Standard 2" xfId="41"/>
    <cellStyle name="Total 2" xfId="120"/>
    <cellStyle name="Warning Text 2" xfId="12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mun" refreshedDate="42582.679474074073" createdVersion="4" refreshedVersion="4" minRefreshableVersion="3" recordCount="22">
  <cacheSource type="worksheet">
    <worksheetSource ref="A1:AZ23" sheet="Data"/>
  </cacheSource>
  <cacheFields count="51">
    <cacheField name="Account Type" numFmtId="0">
      <sharedItems count="3">
        <s v="S"/>
        <s v="D"/>
        <s v="K"/>
      </sharedItems>
    </cacheField>
    <cacheField name="Account" numFmtId="0">
      <sharedItems containsSemiMixedTypes="0" containsString="0" containsNumber="1" containsInteger="1" minValue="5000844" maxValue="46318240" count="6">
        <n v="30050020"/>
        <n v="5000844"/>
        <n v="46318240"/>
        <n v="5030039"/>
        <n v="5030053"/>
        <n v="5020603"/>
      </sharedItems>
    </cacheField>
    <cacheField name="Material" numFmtId="0">
      <sharedItems containsNonDate="0" containsString="0" containsBlank="1"/>
    </cacheField>
    <cacheField name="Plant" numFmtId="0">
      <sharedItems containsNonDate="0" containsString="0" containsBlank="1"/>
    </cacheField>
    <cacheField name="Vendor" numFmtId="0">
      <sharedItems containsNonDate="0" containsString="0" containsBlank="1"/>
    </cacheField>
    <cacheField name="Funct.Area" numFmtId="0">
      <sharedItems containsNonDate="0" containsString="0" containsBlank="1"/>
    </cacheField>
    <cacheField name="Cost Center" numFmtId="0">
      <sharedItems containsNonDate="0" containsString="0" containsBlank="1"/>
    </cacheField>
    <cacheField name="Order" numFmtId="0">
      <sharedItems containsNonDate="0" containsString="0" containsBlank="1"/>
    </cacheField>
    <cacheField name="WBS" numFmtId="0">
      <sharedItems containsBlank="1"/>
    </cacheField>
    <cacheField name="Network" numFmtId="0">
      <sharedItems containsNonDate="0" containsString="0" containsBlank="1"/>
    </cacheField>
    <cacheField name="Network Activity" numFmtId="0">
      <sharedItems containsNonDate="0" containsString="0" containsBlank="1"/>
    </cacheField>
    <cacheField name="PA" numFmtId="0">
      <sharedItems containsNonDate="0" containsString="0" containsBlank="1"/>
    </cacheField>
    <cacheField name="SalesOrg" numFmtId="0">
      <sharedItems containsNonDate="0" containsString="0" containsBlank="1"/>
    </cacheField>
    <cacheField name="DistChan" numFmtId="166">
      <sharedItems containsNonDate="0" containsString="0" containsBlank="1"/>
    </cacheField>
    <cacheField name="Division" numFmtId="166">
      <sharedItems containsNonDate="0" containsString="0" containsBlank="1"/>
    </cacheField>
    <cacheField name="Customer" numFmtId="0">
      <sharedItems containsNonDate="0" containsString="0" containsBlank="1"/>
    </cacheField>
    <cacheField name="AccAssGrM" numFmtId="0">
      <sharedItems containsNonDate="0" containsString="0" containsBlank="1"/>
    </cacheField>
    <cacheField name="Material Type" numFmtId="0">
      <sharedItems containsNonDate="0" containsString="0" containsBlank="1"/>
    </cacheField>
    <cacheField name="ProfCenter" numFmtId="0">
      <sharedItems containsNonDate="0" containsString="0" containsBlank="1"/>
    </cacheField>
    <cacheField name="Partner ProfCenter" numFmtId="0">
      <sharedItems containsNonDate="0" containsString="0" containsBlank="1"/>
    </cacheField>
    <cacheField name="Segment" numFmtId="0">
      <sharedItems containsNonDate="0" containsString="0" containsBlank="1"/>
    </cacheField>
    <cacheField name="Partner Segment" numFmtId="0">
      <sharedItems containsNonDate="0" containsString="0" containsBlank="1"/>
    </cacheField>
    <cacheField name="Partner Company" numFmtId="0">
      <sharedItems containsNonDate="0" containsString="0" containsBlank="1"/>
    </cacheField>
    <cacheField name="Business Area" numFmtId="0">
      <sharedItems count="4">
        <s v="CN40"/>
        <s v="CN41"/>
        <s v="CN43"/>
        <s v="CN15"/>
      </sharedItems>
    </cacheField>
    <cacheField name="Ergänzungstext" numFmtId="0">
      <sharedItems containsNonDate="0" containsString="0" containsBlank="1"/>
    </cacheField>
    <cacheField name="HFM Country" numFmtId="0">
      <sharedItems containsNonDate="0" containsString="0" containsBlank="1"/>
    </cacheField>
    <cacheField name="HFM Customergroup" numFmtId="0">
      <sharedItems containsNonDate="0" containsString="0" containsBlank="1"/>
    </cacheField>
    <cacheField name="PaymTerm" numFmtId="0">
      <sharedItems containsNonDate="0" containsString="0" containsBlank="1"/>
    </cacheField>
    <cacheField name="BaseDate" numFmtId="0">
      <sharedItems containsNonDate="0" containsString="0" containsBlank="1"/>
    </cacheField>
    <cacheField name="Payment Block" numFmtId="0">
      <sharedItems containsNonDate="0" containsString="0" containsBlank="1"/>
    </cacheField>
    <cacheField name="Item-Text" numFmtId="0">
      <sharedItems/>
    </cacheField>
    <cacheField name="Tax-Code" numFmtId="0">
      <sharedItems containsNonDate="0" containsString="0" containsBlank="1"/>
    </cacheField>
    <cacheField name="AllocNr" numFmtId="0">
      <sharedItems containsNonDate="0" containsString="0" containsBlank="1"/>
    </cacheField>
    <cacheField name="Amount" numFmtId="4">
      <sharedItems containsSemiMixedTypes="0" containsString="0" containsNumber="1" minValue="-120577.87" maxValue="120577.87"/>
    </cacheField>
    <cacheField name="Amount 2" numFmtId="4">
      <sharedItems containsNonDate="0" containsString="0" containsBlank="1"/>
    </cacheField>
    <cacheField name="Amount 3" numFmtId="4">
      <sharedItems containsNonDate="0" containsString="0" containsBlank="1"/>
    </cacheField>
    <cacheField name="Amount 4" numFmtId="4">
      <sharedItems containsNonDate="0" containsString="0" containsBlank="1"/>
    </cacheField>
    <cacheField name="Movement Type" numFmtId="0">
      <sharedItems containsNonDate="0" containsString="0" containsBlank="1"/>
    </cacheField>
    <cacheField name="Reference Key 3" numFmtId="0">
      <sharedItems containsNonDate="0" containsString="0" containsBlank="1"/>
    </cacheField>
    <cacheField name="Post" numFmtId="0">
      <sharedItems containsNonDate="0" containsString="0" containsBlank="1"/>
    </cacheField>
    <cacheField name="PostDate" numFmtId="0">
      <sharedItems containsNonDate="0" containsString="0" containsBlank="1"/>
    </cacheField>
    <cacheField name="DocDate" numFmtId="0">
      <sharedItems containsNonDate="0" containsString="0" containsBlank="1"/>
    </cacheField>
    <cacheField name="Reference" numFmtId="0">
      <sharedItems containsNonDate="0" containsString="0" containsBlank="1"/>
    </cacheField>
    <cacheField name="HeaderText" numFmtId="0">
      <sharedItems containsNonDate="0" containsString="0" containsBlank="1"/>
    </cacheField>
    <cacheField name="CompCode" numFmtId="0">
      <sharedItems containsNonDate="0" containsString="0" containsBlank="1"/>
    </cacheField>
    <cacheField name="Currency" numFmtId="0">
      <sharedItems containsNonDate="0" containsString="0" containsBlank="1"/>
    </cacheField>
    <cacheField name="DocType" numFmtId="0">
      <sharedItems containsNonDate="0" containsString="0" containsBlank="1"/>
    </cacheField>
    <cacheField name="Fiscal Period" numFmtId="0">
      <sharedItems containsNonDate="0" containsString="0" containsBlank="1"/>
    </cacheField>
    <cacheField name="Accounting Principle" numFmtId="0">
      <sharedItems containsNonDate="0" containsString="0" containsBlank="1"/>
    </cacheField>
    <cacheField name="SAP Msg" numFmtId="0">
      <sharedItems containsNonDate="0" containsString="0" containsBlank="1"/>
    </cacheField>
    <cacheField name="DocumentNumber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">
  <r>
    <x v="0"/>
    <x v="0"/>
    <m/>
    <m/>
    <m/>
    <m/>
    <m/>
    <m/>
    <s v="C.11002"/>
    <m/>
    <m/>
    <m/>
    <m/>
    <m/>
    <m/>
    <m/>
    <m/>
    <m/>
    <m/>
    <m/>
    <m/>
    <m/>
    <m/>
    <x v="0"/>
    <m/>
    <m/>
    <m/>
    <m/>
    <m/>
    <m/>
    <s v="intra branch sales 201607"/>
    <m/>
    <m/>
    <n v="-6780.4"/>
    <m/>
    <m/>
    <m/>
    <m/>
    <m/>
    <m/>
    <m/>
    <m/>
    <m/>
    <m/>
    <m/>
    <m/>
    <m/>
    <m/>
    <m/>
    <m/>
    <m/>
  </r>
  <r>
    <x v="0"/>
    <x v="0"/>
    <m/>
    <m/>
    <m/>
    <m/>
    <m/>
    <m/>
    <s v="C.11115.01.01.06"/>
    <m/>
    <m/>
    <m/>
    <m/>
    <m/>
    <m/>
    <m/>
    <m/>
    <m/>
    <m/>
    <m/>
    <m/>
    <m/>
    <m/>
    <x v="0"/>
    <m/>
    <m/>
    <m/>
    <m/>
    <m/>
    <m/>
    <s v="intra branch sales 201607"/>
    <m/>
    <m/>
    <n v="-33100"/>
    <m/>
    <m/>
    <m/>
    <m/>
    <m/>
    <m/>
    <m/>
    <m/>
    <m/>
    <m/>
    <m/>
    <m/>
    <m/>
    <m/>
    <m/>
    <m/>
    <m/>
  </r>
  <r>
    <x v="0"/>
    <x v="0"/>
    <m/>
    <m/>
    <m/>
    <m/>
    <m/>
    <m/>
    <s v="C.11116.03.04"/>
    <m/>
    <m/>
    <m/>
    <m/>
    <m/>
    <m/>
    <m/>
    <m/>
    <m/>
    <m/>
    <m/>
    <m/>
    <m/>
    <m/>
    <x v="0"/>
    <m/>
    <m/>
    <m/>
    <m/>
    <m/>
    <m/>
    <s v="intra branch sales 201607"/>
    <m/>
    <m/>
    <n v="-63137.47"/>
    <m/>
    <m/>
    <m/>
    <m/>
    <m/>
    <m/>
    <m/>
    <m/>
    <m/>
    <m/>
    <m/>
    <m/>
    <m/>
    <m/>
    <m/>
    <m/>
    <m/>
  </r>
  <r>
    <x v="0"/>
    <x v="0"/>
    <m/>
    <m/>
    <m/>
    <m/>
    <m/>
    <m/>
    <s v="C.11125"/>
    <m/>
    <m/>
    <m/>
    <m/>
    <m/>
    <m/>
    <m/>
    <m/>
    <m/>
    <m/>
    <m/>
    <m/>
    <m/>
    <m/>
    <x v="0"/>
    <m/>
    <m/>
    <m/>
    <m/>
    <m/>
    <m/>
    <s v="intra branch sales 201607"/>
    <m/>
    <m/>
    <n v="-17560"/>
    <m/>
    <m/>
    <m/>
    <m/>
    <m/>
    <m/>
    <m/>
    <m/>
    <m/>
    <m/>
    <m/>
    <m/>
    <m/>
    <m/>
    <m/>
    <m/>
    <m/>
  </r>
  <r>
    <x v="1"/>
    <x v="1"/>
    <m/>
    <m/>
    <m/>
    <m/>
    <m/>
    <m/>
    <m/>
    <m/>
    <m/>
    <m/>
    <m/>
    <m/>
    <m/>
    <m/>
    <m/>
    <m/>
    <m/>
    <m/>
    <m/>
    <m/>
    <m/>
    <x v="0"/>
    <m/>
    <m/>
    <m/>
    <m/>
    <m/>
    <m/>
    <s v="intra branch sales 201607"/>
    <m/>
    <m/>
    <n v="120577.87"/>
    <m/>
    <m/>
    <m/>
    <m/>
    <m/>
    <m/>
    <m/>
    <m/>
    <m/>
    <m/>
    <m/>
    <m/>
    <m/>
    <m/>
    <m/>
    <m/>
    <m/>
  </r>
  <r>
    <x v="0"/>
    <x v="0"/>
    <m/>
    <m/>
    <m/>
    <m/>
    <m/>
    <m/>
    <s v="C.11012.01"/>
    <m/>
    <m/>
    <m/>
    <m/>
    <m/>
    <m/>
    <m/>
    <m/>
    <m/>
    <m/>
    <m/>
    <m/>
    <m/>
    <m/>
    <x v="1"/>
    <m/>
    <m/>
    <m/>
    <m/>
    <m/>
    <m/>
    <s v="intra branch sales 201607"/>
    <m/>
    <m/>
    <n v="10690"/>
    <m/>
    <m/>
    <m/>
    <m/>
    <m/>
    <m/>
    <m/>
    <m/>
    <m/>
    <m/>
    <m/>
    <m/>
    <m/>
    <m/>
    <m/>
    <m/>
    <m/>
  </r>
  <r>
    <x v="1"/>
    <x v="1"/>
    <m/>
    <m/>
    <m/>
    <m/>
    <m/>
    <m/>
    <m/>
    <m/>
    <m/>
    <m/>
    <m/>
    <m/>
    <m/>
    <m/>
    <m/>
    <m/>
    <m/>
    <m/>
    <m/>
    <m/>
    <m/>
    <x v="1"/>
    <m/>
    <m/>
    <m/>
    <m/>
    <m/>
    <m/>
    <s v="intra branch sales 201607"/>
    <m/>
    <m/>
    <n v="-10690"/>
    <m/>
    <m/>
    <m/>
    <m/>
    <m/>
    <m/>
    <m/>
    <m/>
    <m/>
    <m/>
    <m/>
    <m/>
    <m/>
    <m/>
    <m/>
    <m/>
    <m/>
  </r>
  <r>
    <x v="0"/>
    <x v="0"/>
    <m/>
    <m/>
    <m/>
    <m/>
    <m/>
    <m/>
    <s v="C.11023.03.02.06"/>
    <m/>
    <m/>
    <m/>
    <m/>
    <m/>
    <m/>
    <m/>
    <m/>
    <m/>
    <m/>
    <m/>
    <m/>
    <m/>
    <m/>
    <x v="2"/>
    <m/>
    <m/>
    <m/>
    <m/>
    <m/>
    <m/>
    <s v="intra branch sales 201607"/>
    <m/>
    <m/>
    <n v="-105057.8"/>
    <m/>
    <m/>
    <m/>
    <m/>
    <m/>
    <m/>
    <m/>
    <m/>
    <m/>
    <m/>
    <m/>
    <m/>
    <m/>
    <m/>
    <m/>
    <m/>
    <m/>
  </r>
  <r>
    <x v="0"/>
    <x v="0"/>
    <m/>
    <m/>
    <m/>
    <m/>
    <m/>
    <m/>
    <s v="C.11025.03.02.09"/>
    <m/>
    <m/>
    <m/>
    <m/>
    <m/>
    <m/>
    <m/>
    <m/>
    <m/>
    <m/>
    <m/>
    <m/>
    <m/>
    <m/>
    <x v="2"/>
    <m/>
    <m/>
    <m/>
    <m/>
    <m/>
    <m/>
    <s v="intra branch sales 201607"/>
    <m/>
    <m/>
    <n v="-92382"/>
    <m/>
    <m/>
    <m/>
    <m/>
    <m/>
    <m/>
    <m/>
    <m/>
    <m/>
    <m/>
    <m/>
    <m/>
    <m/>
    <m/>
    <m/>
    <m/>
    <m/>
  </r>
  <r>
    <x v="0"/>
    <x v="0"/>
    <m/>
    <m/>
    <m/>
    <m/>
    <m/>
    <m/>
    <s v="C.11131.03"/>
    <m/>
    <m/>
    <m/>
    <m/>
    <m/>
    <m/>
    <m/>
    <m/>
    <m/>
    <m/>
    <m/>
    <m/>
    <m/>
    <m/>
    <x v="2"/>
    <m/>
    <m/>
    <m/>
    <m/>
    <m/>
    <m/>
    <s v="intra branch sales 201607"/>
    <m/>
    <m/>
    <n v="90758.3"/>
    <m/>
    <m/>
    <m/>
    <m/>
    <m/>
    <m/>
    <m/>
    <m/>
    <m/>
    <m/>
    <m/>
    <m/>
    <m/>
    <m/>
    <m/>
    <m/>
    <m/>
  </r>
  <r>
    <x v="1"/>
    <x v="1"/>
    <m/>
    <m/>
    <m/>
    <m/>
    <m/>
    <m/>
    <m/>
    <m/>
    <m/>
    <m/>
    <m/>
    <m/>
    <m/>
    <m/>
    <m/>
    <m/>
    <m/>
    <m/>
    <m/>
    <m/>
    <m/>
    <x v="2"/>
    <m/>
    <m/>
    <m/>
    <m/>
    <m/>
    <m/>
    <s v="intra branch sales 201607"/>
    <m/>
    <m/>
    <n v="106681.49999999999"/>
    <m/>
    <m/>
    <m/>
    <m/>
    <m/>
    <m/>
    <m/>
    <m/>
    <m/>
    <m/>
    <m/>
    <m/>
    <m/>
    <m/>
    <m/>
    <m/>
    <m/>
  </r>
  <r>
    <x v="0"/>
    <x v="2"/>
    <m/>
    <m/>
    <m/>
    <m/>
    <m/>
    <m/>
    <s v="C.08115"/>
    <m/>
    <m/>
    <m/>
    <m/>
    <m/>
    <m/>
    <m/>
    <m/>
    <m/>
    <m/>
    <m/>
    <m/>
    <m/>
    <m/>
    <x v="3"/>
    <m/>
    <m/>
    <m/>
    <m/>
    <m/>
    <m/>
    <s v="intra branch sales 201607"/>
    <m/>
    <m/>
    <n v="6780.4"/>
    <m/>
    <m/>
    <m/>
    <m/>
    <m/>
    <m/>
    <m/>
    <m/>
    <m/>
    <m/>
    <m/>
    <m/>
    <m/>
    <m/>
    <m/>
    <m/>
    <m/>
  </r>
  <r>
    <x v="0"/>
    <x v="2"/>
    <m/>
    <m/>
    <m/>
    <m/>
    <m/>
    <m/>
    <s v="C.08200.01.01.06"/>
    <m/>
    <m/>
    <m/>
    <m/>
    <m/>
    <m/>
    <m/>
    <m/>
    <m/>
    <m/>
    <m/>
    <m/>
    <m/>
    <m/>
    <x v="3"/>
    <m/>
    <m/>
    <m/>
    <m/>
    <m/>
    <m/>
    <s v="intra branch sales 201607"/>
    <m/>
    <m/>
    <n v="33100"/>
    <m/>
    <m/>
    <m/>
    <m/>
    <m/>
    <m/>
    <m/>
    <m/>
    <m/>
    <m/>
    <m/>
    <m/>
    <m/>
    <m/>
    <m/>
    <m/>
    <m/>
  </r>
  <r>
    <x v="0"/>
    <x v="2"/>
    <m/>
    <m/>
    <m/>
    <m/>
    <m/>
    <m/>
    <s v="C.08202.01.04"/>
    <m/>
    <m/>
    <m/>
    <m/>
    <m/>
    <m/>
    <m/>
    <m/>
    <m/>
    <m/>
    <m/>
    <m/>
    <m/>
    <m/>
    <x v="3"/>
    <m/>
    <m/>
    <m/>
    <m/>
    <m/>
    <m/>
    <s v="intra branch sales 201607"/>
    <m/>
    <m/>
    <n v="63137.47"/>
    <m/>
    <m/>
    <m/>
    <m/>
    <m/>
    <m/>
    <m/>
    <m/>
    <m/>
    <m/>
    <m/>
    <m/>
    <m/>
    <m/>
    <m/>
    <m/>
    <m/>
  </r>
  <r>
    <x v="0"/>
    <x v="2"/>
    <m/>
    <m/>
    <m/>
    <m/>
    <m/>
    <m/>
    <s v="C.08181"/>
    <m/>
    <m/>
    <m/>
    <m/>
    <m/>
    <m/>
    <m/>
    <m/>
    <m/>
    <m/>
    <m/>
    <m/>
    <m/>
    <m/>
    <x v="3"/>
    <m/>
    <m/>
    <m/>
    <m/>
    <m/>
    <m/>
    <s v="intra branch sales 201607"/>
    <m/>
    <m/>
    <n v="17560"/>
    <m/>
    <m/>
    <m/>
    <m/>
    <m/>
    <m/>
    <m/>
    <m/>
    <m/>
    <m/>
    <m/>
    <m/>
    <m/>
    <m/>
    <m/>
    <m/>
    <m/>
  </r>
  <r>
    <x v="2"/>
    <x v="3"/>
    <m/>
    <m/>
    <m/>
    <m/>
    <m/>
    <m/>
    <m/>
    <m/>
    <m/>
    <m/>
    <m/>
    <m/>
    <m/>
    <m/>
    <m/>
    <m/>
    <m/>
    <m/>
    <m/>
    <m/>
    <m/>
    <x v="3"/>
    <m/>
    <m/>
    <m/>
    <m/>
    <m/>
    <m/>
    <s v="intra branch sales 201607"/>
    <m/>
    <m/>
    <n v="-120577.87"/>
    <m/>
    <m/>
    <m/>
    <m/>
    <m/>
    <m/>
    <m/>
    <m/>
    <m/>
    <m/>
    <m/>
    <m/>
    <m/>
    <m/>
    <m/>
    <m/>
    <m/>
  </r>
  <r>
    <x v="0"/>
    <x v="2"/>
    <m/>
    <m/>
    <m/>
    <m/>
    <m/>
    <m/>
    <s v="C.01550.01"/>
    <m/>
    <m/>
    <m/>
    <m/>
    <m/>
    <m/>
    <m/>
    <m/>
    <m/>
    <m/>
    <m/>
    <m/>
    <m/>
    <m/>
    <x v="3"/>
    <m/>
    <m/>
    <m/>
    <m/>
    <m/>
    <m/>
    <s v="intra branch sales 201607"/>
    <m/>
    <m/>
    <n v="-10690"/>
    <m/>
    <m/>
    <m/>
    <m/>
    <m/>
    <m/>
    <m/>
    <m/>
    <m/>
    <m/>
    <m/>
    <m/>
    <m/>
    <m/>
    <m/>
    <m/>
    <m/>
  </r>
  <r>
    <x v="2"/>
    <x v="4"/>
    <m/>
    <m/>
    <m/>
    <m/>
    <m/>
    <m/>
    <m/>
    <m/>
    <m/>
    <m/>
    <m/>
    <m/>
    <m/>
    <m/>
    <m/>
    <m/>
    <m/>
    <m/>
    <m/>
    <m/>
    <m/>
    <x v="3"/>
    <m/>
    <m/>
    <m/>
    <m/>
    <m/>
    <m/>
    <s v="intra branch sales 201607"/>
    <m/>
    <m/>
    <n v="10690"/>
    <m/>
    <m/>
    <m/>
    <m/>
    <m/>
    <m/>
    <m/>
    <m/>
    <m/>
    <m/>
    <m/>
    <m/>
    <m/>
    <m/>
    <m/>
    <m/>
    <m/>
  </r>
  <r>
    <x v="0"/>
    <x v="2"/>
    <m/>
    <m/>
    <m/>
    <m/>
    <m/>
    <m/>
    <s v="C.08209.01.02.06"/>
    <m/>
    <m/>
    <m/>
    <m/>
    <m/>
    <m/>
    <m/>
    <m/>
    <m/>
    <m/>
    <m/>
    <m/>
    <m/>
    <m/>
    <x v="3"/>
    <m/>
    <m/>
    <m/>
    <m/>
    <m/>
    <m/>
    <s v="intra branch sales 201607"/>
    <m/>
    <m/>
    <n v="105057.8"/>
    <m/>
    <m/>
    <m/>
    <m/>
    <m/>
    <m/>
    <m/>
    <m/>
    <m/>
    <m/>
    <m/>
    <m/>
    <m/>
    <m/>
    <m/>
    <m/>
    <m/>
  </r>
  <r>
    <x v="0"/>
    <x v="2"/>
    <m/>
    <m/>
    <m/>
    <m/>
    <m/>
    <m/>
    <s v="C.08302.01"/>
    <m/>
    <m/>
    <m/>
    <m/>
    <m/>
    <m/>
    <m/>
    <m/>
    <m/>
    <m/>
    <m/>
    <m/>
    <m/>
    <m/>
    <x v="3"/>
    <m/>
    <m/>
    <m/>
    <m/>
    <m/>
    <m/>
    <s v="intra branch sales 201607"/>
    <m/>
    <m/>
    <n v="92382"/>
    <m/>
    <m/>
    <m/>
    <m/>
    <m/>
    <m/>
    <m/>
    <m/>
    <m/>
    <m/>
    <m/>
    <m/>
    <m/>
    <m/>
    <m/>
    <m/>
    <m/>
  </r>
  <r>
    <x v="0"/>
    <x v="2"/>
    <m/>
    <m/>
    <m/>
    <m/>
    <m/>
    <m/>
    <s v="C.08229.01"/>
    <m/>
    <m/>
    <m/>
    <m/>
    <m/>
    <m/>
    <m/>
    <m/>
    <m/>
    <m/>
    <m/>
    <m/>
    <m/>
    <m/>
    <x v="3"/>
    <m/>
    <m/>
    <m/>
    <m/>
    <m/>
    <m/>
    <s v="intra branch sales 201607"/>
    <m/>
    <m/>
    <n v="-90758.3"/>
    <m/>
    <m/>
    <m/>
    <m/>
    <m/>
    <m/>
    <m/>
    <m/>
    <m/>
    <m/>
    <m/>
    <m/>
    <m/>
    <m/>
    <m/>
    <m/>
    <m/>
  </r>
  <r>
    <x v="2"/>
    <x v="5"/>
    <m/>
    <m/>
    <m/>
    <m/>
    <m/>
    <m/>
    <m/>
    <m/>
    <m/>
    <m/>
    <m/>
    <m/>
    <m/>
    <m/>
    <m/>
    <m/>
    <m/>
    <m/>
    <m/>
    <m/>
    <m/>
    <x v="3"/>
    <m/>
    <m/>
    <m/>
    <m/>
    <m/>
    <m/>
    <s v="intra branch sales 201607"/>
    <m/>
    <m/>
    <n v="-106681.49999999999"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B26" firstHeaderRow="1" firstDataRow="1" firstDataCol="1"/>
  <pivotFields count="51">
    <pivotField axis="axisRow" showAll="0">
      <items count="4">
        <item x="1"/>
        <item x="2"/>
        <item x="0"/>
        <item t="default"/>
      </items>
    </pivotField>
    <pivotField axis="axisRow" showAll="0">
      <items count="7">
        <item x="1"/>
        <item x="5"/>
        <item x="3"/>
        <item x="0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3"/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23"/>
    <field x="0"/>
    <field x="1"/>
  </rowFields>
  <rowItems count="23">
    <i>
      <x/>
    </i>
    <i r="1">
      <x v="1"/>
    </i>
    <i r="2">
      <x v="1"/>
    </i>
    <i r="2">
      <x v="2"/>
    </i>
    <i r="2">
      <x v="5"/>
    </i>
    <i r="1">
      <x v="2"/>
    </i>
    <i r="2">
      <x v="4"/>
    </i>
    <i>
      <x v="1"/>
    </i>
    <i r="1">
      <x/>
    </i>
    <i r="2">
      <x/>
    </i>
    <i r="1">
      <x v="2"/>
    </i>
    <i r="2">
      <x v="3"/>
    </i>
    <i>
      <x v="2"/>
    </i>
    <i r="1">
      <x/>
    </i>
    <i r="2">
      <x/>
    </i>
    <i r="1">
      <x v="2"/>
    </i>
    <i r="2">
      <x v="3"/>
    </i>
    <i>
      <x v="3"/>
    </i>
    <i r="1">
      <x/>
    </i>
    <i r="2">
      <x/>
    </i>
    <i r="1">
      <x v="2"/>
    </i>
    <i r="2">
      <x v="3"/>
    </i>
    <i t="grand">
      <x/>
    </i>
  </rowItems>
  <colItems count="1">
    <i/>
  </colItems>
  <dataFields count="1">
    <dataField name="Sum of Amount" fld="33" baseField="1" baseItem="0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G16"/>
  <sheetViews>
    <sheetView workbookViewId="0">
      <selection activeCell="B8" sqref="B8"/>
    </sheetView>
  </sheetViews>
  <sheetFormatPr defaultColWidth="11" defaultRowHeight="12.75" x14ac:dyDescent="0.2"/>
  <cols>
    <col min="1" max="1" width="20.5703125" style="1" customWidth="1"/>
    <col min="2" max="2" width="18.7109375" style="2" customWidth="1"/>
    <col min="3" max="3" width="11.85546875" style="1" customWidth="1"/>
    <col min="6" max="6" width="9.5703125" bestFit="1" customWidth="1"/>
    <col min="7" max="7" width="36.85546875" bestFit="1" customWidth="1"/>
  </cols>
  <sheetData>
    <row r="1" spans="1:7" ht="13.5" thickBot="1" x14ac:dyDescent="0.25">
      <c r="A1" s="6" t="s">
        <v>0</v>
      </c>
      <c r="B1" s="7" t="s">
        <v>6</v>
      </c>
      <c r="C1" s="8" t="s">
        <v>7</v>
      </c>
    </row>
    <row r="2" spans="1:7" x14ac:dyDescent="0.2">
      <c r="A2" s="9" t="s">
        <v>5</v>
      </c>
      <c r="B2" s="53">
        <v>42581</v>
      </c>
      <c r="C2" s="10" t="s">
        <v>36</v>
      </c>
    </row>
    <row r="3" spans="1:7" x14ac:dyDescent="0.2">
      <c r="A3" s="11" t="s">
        <v>8</v>
      </c>
      <c r="B3" s="4">
        <f>B2</f>
        <v>42581</v>
      </c>
      <c r="C3" s="12" t="s">
        <v>36</v>
      </c>
    </row>
    <row r="4" spans="1:7" x14ac:dyDescent="0.2">
      <c r="A4" s="11" t="s">
        <v>9</v>
      </c>
      <c r="B4" s="3"/>
      <c r="C4" s="12" t="s">
        <v>36</v>
      </c>
    </row>
    <row r="5" spans="1:7" x14ac:dyDescent="0.2">
      <c r="A5" s="11" t="s">
        <v>16</v>
      </c>
      <c r="B5" s="3" t="s">
        <v>145</v>
      </c>
      <c r="C5" s="12" t="s">
        <v>36</v>
      </c>
    </row>
    <row r="6" spans="1:7" x14ac:dyDescent="0.2">
      <c r="A6" s="11" t="s">
        <v>10</v>
      </c>
      <c r="B6" s="47">
        <v>9015</v>
      </c>
      <c r="C6" s="12" t="s">
        <v>36</v>
      </c>
    </row>
    <row r="7" spans="1:7" x14ac:dyDescent="0.2">
      <c r="A7" s="11" t="s">
        <v>11</v>
      </c>
      <c r="B7" s="3" t="s">
        <v>92</v>
      </c>
      <c r="C7" s="12" t="s">
        <v>36</v>
      </c>
    </row>
    <row r="8" spans="1:7" x14ac:dyDescent="0.2">
      <c r="A8" s="11" t="s">
        <v>12</v>
      </c>
      <c r="B8" s="3"/>
      <c r="C8" s="12" t="s">
        <v>36</v>
      </c>
      <c r="E8" t="s">
        <v>67</v>
      </c>
    </row>
    <row r="9" spans="1:7" x14ac:dyDescent="0.2">
      <c r="A9" s="11" t="s">
        <v>55</v>
      </c>
      <c r="B9" s="43"/>
      <c r="C9" s="12" t="s">
        <v>36</v>
      </c>
      <c r="E9" t="s">
        <v>56</v>
      </c>
      <c r="F9" t="s">
        <v>57</v>
      </c>
      <c r="G9" t="s">
        <v>58</v>
      </c>
    </row>
    <row r="10" spans="1:7" ht="13.5" thickBot="1" x14ac:dyDescent="0.25">
      <c r="A10" s="11" t="s">
        <v>54</v>
      </c>
      <c r="B10" s="42"/>
      <c r="C10" s="12" t="s">
        <v>36</v>
      </c>
      <c r="E10" t="s">
        <v>68</v>
      </c>
      <c r="F10" t="s">
        <v>69</v>
      </c>
      <c r="G10" t="s">
        <v>70</v>
      </c>
    </row>
    <row r="11" spans="1:7" x14ac:dyDescent="0.2">
      <c r="A11" s="29" t="s">
        <v>37</v>
      </c>
      <c r="B11" s="32">
        <v>10</v>
      </c>
      <c r="C11" s="26"/>
      <c r="E11" t="s">
        <v>71</v>
      </c>
      <c r="F11" t="s">
        <v>72</v>
      </c>
      <c r="G11" t="s">
        <v>73</v>
      </c>
    </row>
    <row r="12" spans="1:7" x14ac:dyDescent="0.2">
      <c r="A12" s="30" t="s">
        <v>38</v>
      </c>
      <c r="B12" s="56" t="s">
        <v>92</v>
      </c>
      <c r="C12" s="27"/>
      <c r="E12" t="s">
        <v>74</v>
      </c>
      <c r="F12" t="s">
        <v>75</v>
      </c>
      <c r="G12" t="s">
        <v>76</v>
      </c>
    </row>
    <row r="13" spans="1:7" x14ac:dyDescent="0.2">
      <c r="A13" s="30" t="s">
        <v>42</v>
      </c>
      <c r="B13" s="34">
        <v>30</v>
      </c>
      <c r="C13" s="27"/>
      <c r="E13" t="s">
        <v>77</v>
      </c>
      <c r="F13" t="s">
        <v>78</v>
      </c>
      <c r="G13" t="s">
        <v>79</v>
      </c>
    </row>
    <row r="14" spans="1:7" x14ac:dyDescent="0.2">
      <c r="A14" s="30" t="s">
        <v>43</v>
      </c>
      <c r="B14" s="33" t="s">
        <v>47</v>
      </c>
      <c r="C14" s="27"/>
      <c r="E14" t="s">
        <v>80</v>
      </c>
      <c r="F14" t="s">
        <v>81</v>
      </c>
      <c r="G14" t="s">
        <v>82</v>
      </c>
    </row>
    <row r="15" spans="1:7" x14ac:dyDescent="0.2">
      <c r="A15" s="30" t="s">
        <v>44</v>
      </c>
      <c r="B15" s="35">
        <v>40</v>
      </c>
      <c r="C15" s="27"/>
      <c r="E15" t="s">
        <v>83</v>
      </c>
      <c r="F15" t="s">
        <v>83</v>
      </c>
      <c r="G15" t="s">
        <v>84</v>
      </c>
    </row>
    <row r="16" spans="1:7" ht="13.5" thickBot="1" x14ac:dyDescent="0.25">
      <c r="A16" s="31" t="s">
        <v>45</v>
      </c>
      <c r="B16" s="36" t="s">
        <v>47</v>
      </c>
      <c r="C16" s="28"/>
      <c r="E16" t="s">
        <v>85</v>
      </c>
      <c r="F16" t="s">
        <v>86</v>
      </c>
      <c r="G16" t="s">
        <v>87</v>
      </c>
    </row>
  </sheetData>
  <phoneticPr fontId="0" type="noConversion"/>
  <pageMargins left="0.78749999999999998" right="0.78749999999999998" top="0.78749999999999998" bottom="0.78749999999999998" header="0.49236111111111114" footer="0.49236111111111114"/>
  <pageSetup paperSize="9" firstPageNumber="0" fitToHeight="0" orientation="portrait" horizontalDpi="300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26"/>
  <sheetViews>
    <sheetView workbookViewId="0">
      <selection activeCell="B36" sqref="B36"/>
    </sheetView>
  </sheetViews>
  <sheetFormatPr defaultRowHeight="12.75" x14ac:dyDescent="0.2"/>
  <cols>
    <col min="1" max="1" width="15.85546875" bestFit="1" customWidth="1"/>
    <col min="2" max="2" width="15.140625" bestFit="1" customWidth="1"/>
  </cols>
  <sheetData>
    <row r="3" spans="1:2" x14ac:dyDescent="0.2">
      <c r="A3" s="63" t="s">
        <v>152</v>
      </c>
      <c r="B3" t="s">
        <v>154</v>
      </c>
    </row>
    <row r="4" spans="1:2" x14ac:dyDescent="0.2">
      <c r="A4" s="62" t="s">
        <v>109</v>
      </c>
      <c r="B4" s="61">
        <v>0</v>
      </c>
    </row>
    <row r="5" spans="1:2" x14ac:dyDescent="0.2">
      <c r="A5" s="60" t="s">
        <v>151</v>
      </c>
      <c r="B5" s="61">
        <v>-216569.37</v>
      </c>
    </row>
    <row r="6" spans="1:2" x14ac:dyDescent="0.2">
      <c r="A6" s="59">
        <v>5020603</v>
      </c>
      <c r="B6" s="61">
        <v>-106681.49999999999</v>
      </c>
    </row>
    <row r="7" spans="1:2" x14ac:dyDescent="0.2">
      <c r="A7" s="59">
        <v>5030039</v>
      </c>
      <c r="B7" s="61">
        <v>-120577.87</v>
      </c>
    </row>
    <row r="8" spans="1:2" x14ac:dyDescent="0.2">
      <c r="A8" s="59">
        <v>5030053</v>
      </c>
      <c r="B8" s="61">
        <v>10690</v>
      </c>
    </row>
    <row r="9" spans="1:2" x14ac:dyDescent="0.2">
      <c r="A9" s="60" t="s">
        <v>91</v>
      </c>
      <c r="B9" s="61">
        <v>216569.37</v>
      </c>
    </row>
    <row r="10" spans="1:2" x14ac:dyDescent="0.2">
      <c r="A10" s="59">
        <v>46318240</v>
      </c>
      <c r="B10" s="61">
        <v>216569.37</v>
      </c>
    </row>
    <row r="11" spans="1:2" x14ac:dyDescent="0.2">
      <c r="A11" s="62" t="s">
        <v>106</v>
      </c>
      <c r="B11" s="61">
        <v>0</v>
      </c>
    </row>
    <row r="12" spans="1:2" x14ac:dyDescent="0.2">
      <c r="A12" s="60" t="s">
        <v>150</v>
      </c>
      <c r="B12" s="61">
        <v>120577.87</v>
      </c>
    </row>
    <row r="13" spans="1:2" x14ac:dyDescent="0.2">
      <c r="A13" s="59">
        <v>5000844</v>
      </c>
      <c r="B13" s="61">
        <v>120577.87</v>
      </c>
    </row>
    <row r="14" spans="1:2" x14ac:dyDescent="0.2">
      <c r="A14" s="60" t="s">
        <v>91</v>
      </c>
      <c r="B14" s="61">
        <v>-120577.87</v>
      </c>
    </row>
    <row r="15" spans="1:2" x14ac:dyDescent="0.2">
      <c r="A15" s="59">
        <v>30050020</v>
      </c>
      <c r="B15" s="61">
        <v>-120577.87</v>
      </c>
    </row>
    <row r="16" spans="1:2" x14ac:dyDescent="0.2">
      <c r="A16" s="62" t="s">
        <v>112</v>
      </c>
      <c r="B16" s="61">
        <v>0</v>
      </c>
    </row>
    <row r="17" spans="1:2" x14ac:dyDescent="0.2">
      <c r="A17" s="60" t="s">
        <v>150</v>
      </c>
      <c r="B17" s="61">
        <v>-10690</v>
      </c>
    </row>
    <row r="18" spans="1:2" x14ac:dyDescent="0.2">
      <c r="A18" s="59">
        <v>5000844</v>
      </c>
      <c r="B18" s="61">
        <v>-10690</v>
      </c>
    </row>
    <row r="19" spans="1:2" x14ac:dyDescent="0.2">
      <c r="A19" s="60" t="s">
        <v>91</v>
      </c>
      <c r="B19" s="61">
        <v>10690</v>
      </c>
    </row>
    <row r="20" spans="1:2" x14ac:dyDescent="0.2">
      <c r="A20" s="59">
        <v>30050020</v>
      </c>
      <c r="B20" s="61">
        <v>10690</v>
      </c>
    </row>
    <row r="21" spans="1:2" x14ac:dyDescent="0.2">
      <c r="A21" s="62" t="s">
        <v>118</v>
      </c>
      <c r="B21" s="61">
        <v>0</v>
      </c>
    </row>
    <row r="22" spans="1:2" x14ac:dyDescent="0.2">
      <c r="A22" s="60" t="s">
        <v>150</v>
      </c>
      <c r="B22" s="61">
        <v>106681.49999999999</v>
      </c>
    </row>
    <row r="23" spans="1:2" x14ac:dyDescent="0.2">
      <c r="A23" s="59">
        <v>5000844</v>
      </c>
      <c r="B23" s="61">
        <v>106681.49999999999</v>
      </c>
    </row>
    <row r="24" spans="1:2" x14ac:dyDescent="0.2">
      <c r="A24" s="60" t="s">
        <v>91</v>
      </c>
      <c r="B24" s="61">
        <v>-106681.49999999999</v>
      </c>
    </row>
    <row r="25" spans="1:2" x14ac:dyDescent="0.2">
      <c r="A25" s="59">
        <v>30050020</v>
      </c>
      <c r="B25" s="61">
        <v>-106681.49999999999</v>
      </c>
    </row>
    <row r="26" spans="1:2" x14ac:dyDescent="0.2">
      <c r="A26" s="62" t="s">
        <v>153</v>
      </c>
      <c r="B26" s="6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AZ23"/>
  <sheetViews>
    <sheetView tabSelected="1" zoomScale="80" zoomScaleNormal="80" workbookViewId="0">
      <pane xSplit="2" ySplit="1" topLeftCell="Y2" activePane="bottomRight" state="frozen"/>
      <selection pane="topRight" activeCell="C1" sqref="C1"/>
      <selection pane="bottomLeft" activeCell="A2" sqref="A2"/>
      <selection pane="bottomRight" activeCell="AY21" sqref="AY21"/>
    </sheetView>
  </sheetViews>
  <sheetFormatPr defaultColWidth="11.42578125" defaultRowHeight="12.75" outlineLevelCol="1" x14ac:dyDescent="0.2"/>
  <cols>
    <col min="1" max="1" width="4.140625" style="5" bestFit="1" customWidth="1"/>
    <col min="2" max="2" width="9.85546875" style="5" bestFit="1" customWidth="1"/>
    <col min="3" max="5" width="4.140625" style="5" bestFit="1" customWidth="1"/>
    <col min="6" max="6" width="5.5703125" style="38" bestFit="1" customWidth="1"/>
    <col min="7" max="8" width="4.140625" style="38" bestFit="1" customWidth="1"/>
    <col min="9" max="9" width="16.5703125" style="38" bestFit="1" customWidth="1"/>
    <col min="10" max="10" width="7" style="5" bestFit="1" customWidth="1"/>
    <col min="11" max="11" width="5.5703125" style="5" bestFit="1" customWidth="1"/>
    <col min="12" max="13" width="4.140625" style="5" customWidth="1" outlineLevel="1"/>
    <col min="14" max="15" width="4.140625" style="14" customWidth="1" outlineLevel="1"/>
    <col min="16" max="18" width="4.140625" style="5" customWidth="1" outlineLevel="1"/>
    <col min="19" max="19" width="10.7109375" style="38" bestFit="1" customWidth="1"/>
    <col min="20" max="20" width="4.140625" style="38" bestFit="1" customWidth="1"/>
    <col min="21" max="21" width="5.5703125" style="38" bestFit="1" customWidth="1"/>
    <col min="22" max="23" width="4.140625" style="38" bestFit="1" customWidth="1"/>
    <col min="24" max="24" width="5.85546875" style="38" bestFit="1" customWidth="1"/>
    <col min="25" max="27" width="4.140625" style="38" bestFit="1" customWidth="1"/>
    <col min="28" max="28" width="4.140625" style="5" bestFit="1" customWidth="1"/>
    <col min="29" max="29" width="4.140625" style="5" customWidth="1"/>
    <col min="30" max="30" width="4.140625" style="5" bestFit="1" customWidth="1"/>
    <col min="31" max="31" width="4.140625" style="5" customWidth="1"/>
    <col min="32" max="32" width="32.7109375" style="38" bestFit="1" customWidth="1"/>
    <col min="33" max="33" width="4.140625" style="5" bestFit="1" customWidth="1"/>
    <col min="34" max="34" width="4.140625" style="38" bestFit="1" customWidth="1"/>
    <col min="35" max="35" width="11.5703125" style="25" bestFit="1" customWidth="1"/>
    <col min="36" max="36" width="11.5703125" style="25" bestFit="1" customWidth="1" outlineLevel="1"/>
    <col min="37" max="37" width="4.140625" style="25" customWidth="1" outlineLevel="1"/>
    <col min="38" max="38" width="4.140625" style="13" customWidth="1" outlineLevel="1"/>
    <col min="39" max="40" width="4.140625" style="45" bestFit="1" customWidth="1" outlineLevel="1"/>
    <col min="41" max="48" width="4.140625" style="5" bestFit="1" customWidth="1"/>
    <col min="49" max="49" width="4.140625" style="5" customWidth="1"/>
    <col min="50" max="50" width="4.140625" style="5" bestFit="1" customWidth="1"/>
    <col min="51" max="51" width="68.7109375" style="5" bestFit="1" customWidth="1"/>
    <col min="52" max="52" width="20.85546875" style="40" bestFit="1" customWidth="1"/>
    <col min="53" max="16384" width="11.42578125" style="5"/>
  </cols>
  <sheetData>
    <row r="1" spans="1:52" s="22" customFormat="1" ht="115.5" customHeight="1" x14ac:dyDescent="0.2">
      <c r="A1" s="51" t="s">
        <v>63</v>
      </c>
      <c r="B1" s="15" t="s">
        <v>24</v>
      </c>
      <c r="C1" s="16" t="s">
        <v>1</v>
      </c>
      <c r="D1" s="16" t="s">
        <v>14</v>
      </c>
      <c r="E1" s="16" t="s">
        <v>15</v>
      </c>
      <c r="F1" s="46" t="s">
        <v>49</v>
      </c>
      <c r="G1" s="46" t="s">
        <v>2</v>
      </c>
      <c r="H1" s="46" t="s">
        <v>3</v>
      </c>
      <c r="I1" s="46" t="s">
        <v>46</v>
      </c>
      <c r="J1" s="49" t="s">
        <v>59</v>
      </c>
      <c r="K1" s="49" t="s">
        <v>60</v>
      </c>
      <c r="L1" s="17" t="s">
        <v>17</v>
      </c>
      <c r="M1" s="17" t="s">
        <v>18</v>
      </c>
      <c r="N1" s="18" t="s">
        <v>19</v>
      </c>
      <c r="O1" s="18" t="s">
        <v>20</v>
      </c>
      <c r="P1" s="17" t="s">
        <v>21</v>
      </c>
      <c r="Q1" s="17" t="s">
        <v>22</v>
      </c>
      <c r="R1" s="17" t="s">
        <v>88</v>
      </c>
      <c r="S1" s="37" t="s">
        <v>27</v>
      </c>
      <c r="T1" s="50" t="s">
        <v>62</v>
      </c>
      <c r="U1" s="37" t="s">
        <v>48</v>
      </c>
      <c r="V1" s="50" t="s">
        <v>61</v>
      </c>
      <c r="W1" s="37" t="s">
        <v>50</v>
      </c>
      <c r="X1" s="37" t="s">
        <v>51</v>
      </c>
      <c r="Y1" s="52" t="s">
        <v>64</v>
      </c>
      <c r="Z1" s="52" t="s">
        <v>65</v>
      </c>
      <c r="AA1" s="52" t="s">
        <v>66</v>
      </c>
      <c r="AB1" s="19" t="s">
        <v>25</v>
      </c>
      <c r="AC1" s="19" t="s">
        <v>26</v>
      </c>
      <c r="AD1" s="19" t="s">
        <v>90</v>
      </c>
      <c r="AE1" s="19" t="s">
        <v>159</v>
      </c>
      <c r="AF1" s="48" t="s">
        <v>13</v>
      </c>
      <c r="AG1" s="20" t="s">
        <v>23</v>
      </c>
      <c r="AH1" s="48" t="s">
        <v>28</v>
      </c>
      <c r="AI1" s="20" t="s">
        <v>4</v>
      </c>
      <c r="AJ1" s="20" t="s">
        <v>39</v>
      </c>
      <c r="AK1" s="20" t="s">
        <v>40</v>
      </c>
      <c r="AL1" s="20" t="s">
        <v>41</v>
      </c>
      <c r="AM1" s="44" t="s">
        <v>53</v>
      </c>
      <c r="AN1" s="44" t="s">
        <v>89</v>
      </c>
      <c r="AO1" s="24" t="s">
        <v>29</v>
      </c>
      <c r="AP1" s="21" t="s">
        <v>31</v>
      </c>
      <c r="AQ1" s="21" t="s">
        <v>32</v>
      </c>
      <c r="AR1" s="21" t="s">
        <v>9</v>
      </c>
      <c r="AS1" s="21" t="s">
        <v>33</v>
      </c>
      <c r="AT1" s="21" t="s">
        <v>34</v>
      </c>
      <c r="AU1" s="21" t="s">
        <v>11</v>
      </c>
      <c r="AV1" s="21" t="s">
        <v>35</v>
      </c>
      <c r="AW1" s="41" t="s">
        <v>55</v>
      </c>
      <c r="AX1" s="41" t="s">
        <v>54</v>
      </c>
      <c r="AY1" s="23" t="s">
        <v>30</v>
      </c>
      <c r="AZ1" s="39" t="s">
        <v>52</v>
      </c>
    </row>
    <row r="2" spans="1:52" x14ac:dyDescent="0.2">
      <c r="A2" s="55" t="s">
        <v>91</v>
      </c>
      <c r="B2" s="57">
        <f>VLOOKUP(Basis!C6,Sheet2!$A:$E,3,0)</f>
        <v>30050020</v>
      </c>
      <c r="I2" s="38" t="str">
        <f>Basis!A6</f>
        <v>C.11002</v>
      </c>
      <c r="X2" s="58" t="str">
        <f>Basis!C6</f>
        <v>CN40</v>
      </c>
      <c r="AF2" s="54" t="s">
        <v>149</v>
      </c>
      <c r="AI2" s="25">
        <f>Basis!H6*-1</f>
        <v>-6780.4</v>
      </c>
      <c r="AO2" s="5" t="str">
        <f t="shared" ref="AO2:AO5" si="0">IF(X2&lt;&gt;X3,"X","")</f>
        <v/>
      </c>
      <c r="AV2" s="5" t="str">
        <f>IF(AO2="X",IF(A2="D","DR","KR"),"")</f>
        <v/>
      </c>
    </row>
    <row r="3" spans="1:52" x14ac:dyDescent="0.2">
      <c r="A3" s="55" t="s">
        <v>91</v>
      </c>
      <c r="B3" s="57">
        <f>VLOOKUP(Basis!C7,Sheet2!$A:$E,3,0)</f>
        <v>30050020</v>
      </c>
      <c r="I3" s="38" t="str">
        <f>Basis!A7</f>
        <v>C.11115.01.01.06</v>
      </c>
      <c r="X3" s="58" t="str">
        <f>Basis!C7</f>
        <v>CN40</v>
      </c>
      <c r="AF3" s="54" t="s">
        <v>149</v>
      </c>
      <c r="AI3" s="25">
        <f>Basis!H7*-1</f>
        <v>-33100</v>
      </c>
      <c r="AO3" s="5" t="str">
        <f t="shared" si="0"/>
        <v/>
      </c>
      <c r="AV3" s="5" t="str">
        <f t="shared" ref="AV3:AV23" si="1">IF(AO3="X",IF(A3="D","DR","KR"),"")</f>
        <v/>
      </c>
    </row>
    <row r="4" spans="1:52" x14ac:dyDescent="0.2">
      <c r="A4" s="55" t="s">
        <v>91</v>
      </c>
      <c r="B4" s="57">
        <f>VLOOKUP(Basis!C8,Sheet2!$A:$E,3,0)</f>
        <v>30050020</v>
      </c>
      <c r="I4" s="38" t="str">
        <f>Basis!A8</f>
        <v>C.11116.03.04</v>
      </c>
      <c r="X4" s="58" t="str">
        <f>Basis!C8</f>
        <v>CN40</v>
      </c>
      <c r="AF4" s="54" t="s">
        <v>149</v>
      </c>
      <c r="AI4" s="25">
        <f>Basis!H8*-1</f>
        <v>-63137.47</v>
      </c>
      <c r="AO4" s="5" t="str">
        <f t="shared" si="0"/>
        <v/>
      </c>
      <c r="AV4" s="5" t="str">
        <f t="shared" si="1"/>
        <v/>
      </c>
    </row>
    <row r="5" spans="1:52" x14ac:dyDescent="0.2">
      <c r="A5" s="55" t="s">
        <v>91</v>
      </c>
      <c r="B5" s="57">
        <f>VLOOKUP(Basis!C9,Sheet2!$A:$E,3,0)</f>
        <v>30050020</v>
      </c>
      <c r="I5" s="38" t="str">
        <f>Basis!A9</f>
        <v>C.11125</v>
      </c>
      <c r="X5" s="58" t="str">
        <f>Basis!C9</f>
        <v>CN40</v>
      </c>
      <c r="AF5" s="54" t="s">
        <v>149</v>
      </c>
      <c r="AI5" s="25">
        <f>Basis!H9*-1</f>
        <v>-17560</v>
      </c>
      <c r="AO5" s="5" t="str">
        <f t="shared" si="0"/>
        <v/>
      </c>
      <c r="AV5" s="5" t="str">
        <f t="shared" si="1"/>
        <v/>
      </c>
    </row>
    <row r="6" spans="1:52" x14ac:dyDescent="0.2">
      <c r="A6" s="64" t="s">
        <v>150</v>
      </c>
      <c r="B6" s="57">
        <f>VLOOKUP(X6,Sheet2!$A:$E,2,0)</f>
        <v>5000844</v>
      </c>
      <c r="X6" s="58" t="str">
        <f>X5</f>
        <v>CN40</v>
      </c>
      <c r="AF6" s="54" t="str">
        <f>AF5</f>
        <v>intra branch sales 201607</v>
      </c>
      <c r="AI6" s="25">
        <f>SUM(AI2:AI5)*-1</f>
        <v>120577.87</v>
      </c>
      <c r="AO6" s="5" t="str">
        <f>IF(X6&lt;&gt;X7,"X","")</f>
        <v>X</v>
      </c>
      <c r="AV6" s="5" t="str">
        <f t="shared" si="1"/>
        <v>DR</v>
      </c>
      <c r="AY6" s="5" t="s">
        <v>155</v>
      </c>
      <c r="AZ6" s="40" t="s">
        <v>160</v>
      </c>
    </row>
    <row r="7" spans="1:52" x14ac:dyDescent="0.2">
      <c r="A7" s="55" t="s">
        <v>91</v>
      </c>
      <c r="B7" s="57">
        <f>VLOOKUP(Basis!C10,Sheet2!$A:$E,3,0)</f>
        <v>30050020</v>
      </c>
      <c r="I7" s="38" t="str">
        <f>Basis!A10</f>
        <v>C.11012.01</v>
      </c>
      <c r="X7" s="58" t="str">
        <f>Basis!C10</f>
        <v>CN41</v>
      </c>
      <c r="AF7" s="54" t="s">
        <v>149</v>
      </c>
      <c r="AI7" s="25">
        <f>Basis!H10*-1</f>
        <v>10690</v>
      </c>
      <c r="AO7" s="5" t="str">
        <f t="shared" ref="AO7:AO23" si="2">IF(X7&lt;&gt;X8,"X","")</f>
        <v/>
      </c>
      <c r="AV7" s="5" t="str">
        <f t="shared" si="1"/>
        <v/>
      </c>
    </row>
    <row r="8" spans="1:52" x14ac:dyDescent="0.2">
      <c r="A8" s="64" t="s">
        <v>150</v>
      </c>
      <c r="B8" s="57">
        <f>VLOOKUP(X8,Sheet2!$A:$E,2,0)</f>
        <v>5000844</v>
      </c>
      <c r="X8" s="58" t="str">
        <f>X7</f>
        <v>CN41</v>
      </c>
      <c r="AF8" s="54" t="str">
        <f>AF7</f>
        <v>intra branch sales 201607</v>
      </c>
      <c r="AI8" s="25">
        <f>SUM(AI7)*-1</f>
        <v>-10690</v>
      </c>
      <c r="AO8" s="5" t="str">
        <f t="shared" si="2"/>
        <v>X</v>
      </c>
      <c r="AV8" s="5" t="str">
        <f t="shared" si="1"/>
        <v>DR</v>
      </c>
      <c r="AY8" s="5" t="s">
        <v>156</v>
      </c>
      <c r="AZ8" s="40" t="s">
        <v>160</v>
      </c>
    </row>
    <row r="9" spans="1:52" x14ac:dyDescent="0.2">
      <c r="A9" s="55" t="s">
        <v>91</v>
      </c>
      <c r="B9" s="57">
        <f>VLOOKUP(Basis!C11,Sheet2!$A:$E,3,0)</f>
        <v>30050020</v>
      </c>
      <c r="I9" s="38" t="str">
        <f>Basis!A11</f>
        <v>C.11023.03.02.06</v>
      </c>
      <c r="X9" s="58" t="str">
        <f>Basis!C11</f>
        <v>CN43</v>
      </c>
      <c r="AF9" s="54" t="s">
        <v>149</v>
      </c>
      <c r="AI9" s="25">
        <f>Basis!H11*-1</f>
        <v>-105057.8</v>
      </c>
      <c r="AO9" s="5" t="str">
        <f t="shared" si="2"/>
        <v/>
      </c>
      <c r="AV9" s="5" t="str">
        <f t="shared" si="1"/>
        <v/>
      </c>
    </row>
    <row r="10" spans="1:52" x14ac:dyDescent="0.2">
      <c r="A10" s="55" t="s">
        <v>91</v>
      </c>
      <c r="B10" s="57">
        <f>VLOOKUP(Basis!C12,Sheet2!$A:$E,3,0)</f>
        <v>30050020</v>
      </c>
      <c r="I10" s="38" t="str">
        <f>Basis!A12</f>
        <v>C.11025.03.02.09</v>
      </c>
      <c r="X10" s="58" t="str">
        <f>Basis!C12</f>
        <v>CN43</v>
      </c>
      <c r="AF10" s="54" t="s">
        <v>149</v>
      </c>
      <c r="AI10" s="25">
        <f>Basis!H12*-1</f>
        <v>-92382</v>
      </c>
      <c r="AO10" s="5" t="str">
        <f t="shared" si="2"/>
        <v/>
      </c>
      <c r="AV10" s="5" t="str">
        <f t="shared" si="1"/>
        <v/>
      </c>
    </row>
    <row r="11" spans="1:52" x14ac:dyDescent="0.2">
      <c r="A11" s="55" t="s">
        <v>91</v>
      </c>
      <c r="B11" s="57">
        <f>VLOOKUP(Basis!C13,Sheet2!$A:$E,3,0)</f>
        <v>30050020</v>
      </c>
      <c r="I11" s="38" t="str">
        <f>Basis!A13</f>
        <v>C.11131.03</v>
      </c>
      <c r="X11" s="58" t="str">
        <f>Basis!C13</f>
        <v>CN43</v>
      </c>
      <c r="AF11" s="54" t="s">
        <v>149</v>
      </c>
      <c r="AI11" s="25">
        <f>Basis!H13*-1</f>
        <v>90758.3</v>
      </c>
      <c r="AO11" s="5" t="str">
        <f t="shared" si="2"/>
        <v/>
      </c>
      <c r="AV11" s="5" t="str">
        <f t="shared" si="1"/>
        <v/>
      </c>
    </row>
    <row r="12" spans="1:52" x14ac:dyDescent="0.2">
      <c r="A12" s="64" t="s">
        <v>150</v>
      </c>
      <c r="B12" s="57">
        <f>VLOOKUP(X12,Sheet2!$A:$E,2,0)</f>
        <v>5000844</v>
      </c>
      <c r="X12" s="58" t="str">
        <f>X11</f>
        <v>CN43</v>
      </c>
      <c r="AF12" s="54" t="str">
        <f>AF11</f>
        <v>intra branch sales 201607</v>
      </c>
      <c r="AI12" s="25">
        <f>SUM(AI9:AI11)*-1</f>
        <v>106681.49999999999</v>
      </c>
      <c r="AO12" s="5" t="str">
        <f t="shared" si="2"/>
        <v>X</v>
      </c>
      <c r="AV12" s="5" t="str">
        <f t="shared" si="1"/>
        <v>DR</v>
      </c>
      <c r="AY12" s="5" t="s">
        <v>157</v>
      </c>
      <c r="AZ12" s="40" t="s">
        <v>160</v>
      </c>
    </row>
    <row r="13" spans="1:52" x14ac:dyDescent="0.2">
      <c r="A13" s="55" t="s">
        <v>91</v>
      </c>
      <c r="B13" s="57">
        <f>VLOOKUP(Basis!C6,Sheet2!$A:$E,4,0)</f>
        <v>46318240</v>
      </c>
      <c r="I13" s="38" t="str">
        <f>Basis!E6</f>
        <v>C.08115</v>
      </c>
      <c r="X13" s="58" t="str">
        <f>Basis!G6</f>
        <v>CN15</v>
      </c>
      <c r="AF13" s="54" t="s">
        <v>149</v>
      </c>
      <c r="AI13" s="25">
        <f>AI2*-1</f>
        <v>6780.4</v>
      </c>
      <c r="AO13" s="5" t="str">
        <f t="shared" si="2"/>
        <v/>
      </c>
      <c r="AV13" s="5" t="str">
        <f t="shared" si="1"/>
        <v/>
      </c>
    </row>
    <row r="14" spans="1:52" x14ac:dyDescent="0.2">
      <c r="A14" s="55" t="s">
        <v>91</v>
      </c>
      <c r="B14" s="57">
        <f>VLOOKUP(Basis!C7,Sheet2!$A:$E,4,0)</f>
        <v>46318240</v>
      </c>
      <c r="I14" s="38" t="str">
        <f>Basis!E7</f>
        <v>C.08200.01.01.06</v>
      </c>
      <c r="X14" s="58" t="str">
        <f>Basis!G7</f>
        <v>CN15</v>
      </c>
      <c r="AF14" s="54" t="s">
        <v>149</v>
      </c>
      <c r="AI14" s="25">
        <f t="shared" ref="AI14:AI23" si="3">AI3*-1</f>
        <v>33100</v>
      </c>
      <c r="AO14" s="5" t="str">
        <f t="shared" si="2"/>
        <v/>
      </c>
      <c r="AV14" s="5" t="str">
        <f t="shared" si="1"/>
        <v/>
      </c>
    </row>
    <row r="15" spans="1:52" x14ac:dyDescent="0.2">
      <c r="A15" s="55" t="s">
        <v>91</v>
      </c>
      <c r="B15" s="57">
        <f>VLOOKUP(Basis!C8,Sheet2!$A:$E,4,0)</f>
        <v>46318240</v>
      </c>
      <c r="I15" s="38" t="str">
        <f>Basis!E8</f>
        <v>C.08202.01.04</v>
      </c>
      <c r="X15" s="58" t="str">
        <f>Basis!G8</f>
        <v>CN15</v>
      </c>
      <c r="AF15" s="54" t="s">
        <v>149</v>
      </c>
      <c r="AI15" s="25">
        <f t="shared" si="3"/>
        <v>63137.47</v>
      </c>
      <c r="AO15" s="5" t="str">
        <f t="shared" si="2"/>
        <v/>
      </c>
      <c r="AV15" s="5" t="str">
        <f t="shared" si="1"/>
        <v/>
      </c>
    </row>
    <row r="16" spans="1:52" x14ac:dyDescent="0.2">
      <c r="A16" s="55" t="s">
        <v>91</v>
      </c>
      <c r="B16" s="57">
        <f>VLOOKUP(Basis!C9,Sheet2!$A:$E,4,0)</f>
        <v>46318240</v>
      </c>
      <c r="I16" s="38" t="str">
        <f>Basis!E9</f>
        <v>C.08181</v>
      </c>
      <c r="X16" s="58" t="str">
        <f>Basis!G9</f>
        <v>CN15</v>
      </c>
      <c r="AF16" s="54" t="s">
        <v>149</v>
      </c>
      <c r="AI16" s="25">
        <f t="shared" si="3"/>
        <v>17560</v>
      </c>
      <c r="AO16" s="5" t="str">
        <f t="shared" si="2"/>
        <v/>
      </c>
      <c r="AV16" s="5" t="str">
        <f t="shared" si="1"/>
        <v/>
      </c>
    </row>
    <row r="17" spans="1:52" x14ac:dyDescent="0.2">
      <c r="A17" s="55" t="s">
        <v>151</v>
      </c>
      <c r="B17" s="57">
        <f>VLOOKUP(X6,Sheet2!$A:$E,5,0)</f>
        <v>5030039</v>
      </c>
      <c r="X17" s="58" t="str">
        <f>X16</f>
        <v>CN15</v>
      </c>
      <c r="AF17" s="58" t="str">
        <f>AF16</f>
        <v>intra branch sales 201607</v>
      </c>
      <c r="AI17" s="25">
        <f t="shared" si="3"/>
        <v>-120577.87</v>
      </c>
      <c r="AO17" s="5" t="str">
        <f t="shared" si="2"/>
        <v/>
      </c>
      <c r="AV17" s="5" t="str">
        <f t="shared" si="1"/>
        <v/>
      </c>
    </row>
    <row r="18" spans="1:52" x14ac:dyDescent="0.2">
      <c r="A18" s="55" t="s">
        <v>91</v>
      </c>
      <c r="B18" s="57">
        <f>VLOOKUP(Basis!C10,Sheet2!$A:$E,4,0)</f>
        <v>46318240</v>
      </c>
      <c r="I18" s="38" t="str">
        <f>Basis!E10</f>
        <v>C.01550.01</v>
      </c>
      <c r="X18" s="58" t="str">
        <f>Basis!G10</f>
        <v>CN15</v>
      </c>
      <c r="AF18" s="54" t="s">
        <v>149</v>
      </c>
      <c r="AI18" s="25">
        <f t="shared" si="3"/>
        <v>-10690</v>
      </c>
      <c r="AO18" s="5" t="str">
        <f t="shared" si="2"/>
        <v/>
      </c>
      <c r="AV18" s="5" t="str">
        <f t="shared" si="1"/>
        <v/>
      </c>
    </row>
    <row r="19" spans="1:52" x14ac:dyDescent="0.2">
      <c r="A19" s="55" t="s">
        <v>151</v>
      </c>
      <c r="B19" s="57">
        <f>VLOOKUP(X8,Sheet2!$A:$E,5,0)</f>
        <v>5030053</v>
      </c>
      <c r="X19" s="58" t="str">
        <f>X18</f>
        <v>CN15</v>
      </c>
      <c r="AF19" s="58" t="str">
        <f>AF18</f>
        <v>intra branch sales 201607</v>
      </c>
      <c r="AI19" s="25">
        <f t="shared" si="3"/>
        <v>10690</v>
      </c>
      <c r="AO19" s="5" t="str">
        <f t="shared" si="2"/>
        <v/>
      </c>
      <c r="AV19" s="5" t="str">
        <f t="shared" si="1"/>
        <v/>
      </c>
    </row>
    <row r="20" spans="1:52" x14ac:dyDescent="0.2">
      <c r="A20" s="55" t="s">
        <v>91</v>
      </c>
      <c r="B20" s="57">
        <f>VLOOKUP(Basis!C11,Sheet2!$A:$E,4,0)</f>
        <v>46318240</v>
      </c>
      <c r="I20" s="38" t="str">
        <f>Basis!E11</f>
        <v>C.08209.01.02.06</v>
      </c>
      <c r="X20" s="58" t="str">
        <f>Basis!G11</f>
        <v>CN15</v>
      </c>
      <c r="AF20" s="54" t="s">
        <v>149</v>
      </c>
      <c r="AI20" s="25">
        <f t="shared" si="3"/>
        <v>105057.8</v>
      </c>
      <c r="AO20" s="5" t="str">
        <f t="shared" si="2"/>
        <v/>
      </c>
      <c r="AV20" s="5" t="str">
        <f t="shared" si="1"/>
        <v/>
      </c>
    </row>
    <row r="21" spans="1:52" x14ac:dyDescent="0.2">
      <c r="A21" s="55" t="s">
        <v>91</v>
      </c>
      <c r="B21" s="57">
        <f>VLOOKUP(Basis!C12,Sheet2!$A:$E,4,0)</f>
        <v>46318240</v>
      </c>
      <c r="I21" s="38" t="str">
        <f>Basis!E12</f>
        <v>C.08302.01</v>
      </c>
      <c r="X21" s="58" t="str">
        <f>Basis!G12</f>
        <v>CN15</v>
      </c>
      <c r="AF21" s="54" t="s">
        <v>149</v>
      </c>
      <c r="AI21" s="25">
        <f t="shared" si="3"/>
        <v>92382</v>
      </c>
      <c r="AO21" s="5" t="str">
        <f t="shared" si="2"/>
        <v/>
      </c>
      <c r="AV21" s="5" t="str">
        <f t="shared" si="1"/>
        <v/>
      </c>
    </row>
    <row r="22" spans="1:52" x14ac:dyDescent="0.2">
      <c r="A22" s="55" t="s">
        <v>91</v>
      </c>
      <c r="B22" s="57">
        <f>VLOOKUP(Basis!C13,Sheet2!$A:$E,4,0)</f>
        <v>46318240</v>
      </c>
      <c r="I22" s="38" t="str">
        <f>Basis!E13</f>
        <v>C.08229.01</v>
      </c>
      <c r="X22" s="58" t="str">
        <f>Basis!G13</f>
        <v>CN15</v>
      </c>
      <c r="AF22" s="54" t="s">
        <v>149</v>
      </c>
      <c r="AI22" s="25">
        <f t="shared" si="3"/>
        <v>-90758.3</v>
      </c>
      <c r="AO22" s="5" t="str">
        <f t="shared" si="2"/>
        <v/>
      </c>
      <c r="AV22" s="5" t="str">
        <f t="shared" si="1"/>
        <v/>
      </c>
    </row>
    <row r="23" spans="1:52" x14ac:dyDescent="0.2">
      <c r="A23" s="55" t="s">
        <v>151</v>
      </c>
      <c r="B23" s="57">
        <f>VLOOKUP(X12,Sheet2!$A:$E,5,0)</f>
        <v>5020603</v>
      </c>
      <c r="X23" s="58" t="str">
        <f>X22</f>
        <v>CN15</v>
      </c>
      <c r="AF23" s="58" t="str">
        <f>AF22</f>
        <v>intra branch sales 201607</v>
      </c>
      <c r="AI23" s="25">
        <f t="shared" si="3"/>
        <v>-106681.49999999999</v>
      </c>
      <c r="AO23" s="5" t="str">
        <f t="shared" si="2"/>
        <v>X</v>
      </c>
      <c r="AV23" s="5" t="str">
        <f t="shared" si="1"/>
        <v>KR</v>
      </c>
      <c r="AY23" s="5" t="s">
        <v>158</v>
      </c>
      <c r="AZ23" s="40" t="s">
        <v>160</v>
      </c>
    </row>
  </sheetData>
  <sortState ref="A2:AY9">
    <sortCondition ref="X2:X9"/>
    <sortCondition ref="B2:B9"/>
  </sortState>
  <phoneticPr fontId="0" type="noConversion"/>
  <pageMargins left="0.45" right="0.28000000000000003" top="1" bottom="1" header="0.4921259845" footer="0.4921259845"/>
  <pageSetup paperSize="9" scale="66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3"/>
  <sheetViews>
    <sheetView workbookViewId="0">
      <selection activeCell="H6" sqref="H6"/>
    </sheetView>
  </sheetViews>
  <sheetFormatPr defaultRowHeight="12.75" x14ac:dyDescent="0.2"/>
  <cols>
    <col min="1" max="1" width="15" bestFit="1" customWidth="1"/>
    <col min="2" max="2" width="30.85546875" bestFit="1" customWidth="1"/>
    <col min="3" max="3" width="12.7109375" bestFit="1" customWidth="1"/>
    <col min="4" max="4" width="11.140625" bestFit="1" customWidth="1"/>
    <col min="5" max="5" width="15" bestFit="1" customWidth="1"/>
    <col min="6" max="6" width="27.42578125" bestFit="1" customWidth="1"/>
    <col min="7" max="7" width="12.7109375" bestFit="1" customWidth="1"/>
    <col min="8" max="8" width="8.7109375" bestFit="1" customWidth="1"/>
  </cols>
  <sheetData>
    <row r="1" spans="1:8" x14ac:dyDescent="0.2">
      <c r="A1" s="65" t="s">
        <v>93</v>
      </c>
      <c r="B1" s="65"/>
      <c r="C1" s="65"/>
      <c r="D1" s="65"/>
      <c r="E1" s="65"/>
      <c r="F1" s="65"/>
      <c r="G1" s="65"/>
      <c r="H1" s="65"/>
    </row>
    <row r="2" spans="1:8" x14ac:dyDescent="0.2">
      <c r="A2" s="66" t="s">
        <v>94</v>
      </c>
      <c r="B2" s="66" t="s">
        <v>94</v>
      </c>
      <c r="C2" s="66" t="s">
        <v>94</v>
      </c>
      <c r="D2" s="66" t="s">
        <v>94</v>
      </c>
      <c r="E2" s="66" t="s">
        <v>94</v>
      </c>
      <c r="F2" s="66" t="s">
        <v>94</v>
      </c>
      <c r="G2" s="66" t="s">
        <v>95</v>
      </c>
      <c r="H2" s="67" t="s">
        <v>96</v>
      </c>
    </row>
    <row r="3" spans="1:8" x14ac:dyDescent="0.2">
      <c r="A3" s="66" t="s">
        <v>94</v>
      </c>
      <c r="B3" s="66" t="s">
        <v>94</v>
      </c>
      <c r="C3" s="66" t="s">
        <v>94</v>
      </c>
      <c r="D3" s="66" t="s">
        <v>94</v>
      </c>
      <c r="E3" s="66" t="s">
        <v>94</v>
      </c>
      <c r="F3" s="66" t="s">
        <v>94</v>
      </c>
      <c r="G3" s="66" t="s">
        <v>94</v>
      </c>
      <c r="H3" s="67" t="s">
        <v>97</v>
      </c>
    </row>
    <row r="4" spans="1:8" x14ac:dyDescent="0.2">
      <c r="A4" s="66" t="s">
        <v>94</v>
      </c>
      <c r="B4" s="66" t="s">
        <v>94</v>
      </c>
      <c r="C4" s="66" t="s">
        <v>94</v>
      </c>
      <c r="D4" s="66" t="s">
        <v>94</v>
      </c>
      <c r="E4" s="66" t="s">
        <v>94</v>
      </c>
      <c r="F4" s="66" t="s">
        <v>94</v>
      </c>
      <c r="G4" s="66" t="s">
        <v>98</v>
      </c>
      <c r="H4" s="67" t="s">
        <v>99</v>
      </c>
    </row>
    <row r="5" spans="1:8" x14ac:dyDescent="0.2">
      <c r="A5" s="66" t="s">
        <v>100</v>
      </c>
      <c r="B5" s="66" t="s">
        <v>94</v>
      </c>
      <c r="C5" s="66" t="s">
        <v>101</v>
      </c>
      <c r="D5" s="66" t="s">
        <v>102</v>
      </c>
      <c r="E5" s="66" t="s">
        <v>103</v>
      </c>
      <c r="F5" s="66" t="s">
        <v>94</v>
      </c>
      <c r="G5" s="66" t="s">
        <v>101</v>
      </c>
      <c r="H5" s="68" t="s">
        <v>92</v>
      </c>
    </row>
    <row r="6" spans="1:8" x14ac:dyDescent="0.2">
      <c r="A6" s="67" t="s">
        <v>104</v>
      </c>
      <c r="B6" s="67" t="s">
        <v>105</v>
      </c>
      <c r="C6" s="67" t="s">
        <v>106</v>
      </c>
      <c r="D6" s="67" t="s">
        <v>107</v>
      </c>
      <c r="E6" s="67" t="s">
        <v>107</v>
      </c>
      <c r="F6" s="67" t="s">
        <v>108</v>
      </c>
      <c r="G6" s="67" t="s">
        <v>109</v>
      </c>
      <c r="H6" s="69">
        <v>6780.4</v>
      </c>
    </row>
    <row r="7" spans="1:8" x14ac:dyDescent="0.2">
      <c r="A7" s="67" t="s">
        <v>126</v>
      </c>
      <c r="B7" s="67" t="s">
        <v>127</v>
      </c>
      <c r="C7" s="67" t="s">
        <v>106</v>
      </c>
      <c r="D7" s="67" t="s">
        <v>128</v>
      </c>
      <c r="E7" s="67" t="s">
        <v>129</v>
      </c>
      <c r="F7" s="67" t="s">
        <v>127</v>
      </c>
      <c r="G7" s="67" t="s">
        <v>109</v>
      </c>
      <c r="H7" s="69">
        <v>33100</v>
      </c>
    </row>
    <row r="8" spans="1:8" x14ac:dyDescent="0.2">
      <c r="A8" s="67" t="s">
        <v>130</v>
      </c>
      <c r="B8" s="67" t="s">
        <v>131</v>
      </c>
      <c r="C8" s="67" t="s">
        <v>106</v>
      </c>
      <c r="D8" s="67" t="s">
        <v>132</v>
      </c>
      <c r="E8" s="67" t="s">
        <v>133</v>
      </c>
      <c r="F8" s="67" t="s">
        <v>131</v>
      </c>
      <c r="G8" s="67" t="s">
        <v>109</v>
      </c>
      <c r="H8" s="69">
        <v>63137.47</v>
      </c>
    </row>
    <row r="9" spans="1:8" x14ac:dyDescent="0.2">
      <c r="A9" s="67" t="s">
        <v>134</v>
      </c>
      <c r="B9" s="67" t="s">
        <v>135</v>
      </c>
      <c r="C9" s="67" t="s">
        <v>106</v>
      </c>
      <c r="D9" s="67" t="s">
        <v>136</v>
      </c>
      <c r="E9" s="67" t="s">
        <v>136</v>
      </c>
      <c r="F9" s="67" t="s">
        <v>137</v>
      </c>
      <c r="G9" s="67" t="s">
        <v>109</v>
      </c>
      <c r="H9" s="69">
        <v>17560</v>
      </c>
    </row>
    <row r="10" spans="1:8" x14ac:dyDescent="0.2">
      <c r="A10" s="67" t="s">
        <v>110</v>
      </c>
      <c r="B10" s="67" t="s">
        <v>111</v>
      </c>
      <c r="C10" s="67" t="s">
        <v>112</v>
      </c>
      <c r="D10" s="67" t="s">
        <v>113</v>
      </c>
      <c r="E10" s="67" t="s">
        <v>114</v>
      </c>
      <c r="F10" s="67" t="s">
        <v>115</v>
      </c>
      <c r="G10" s="67" t="s">
        <v>109</v>
      </c>
      <c r="H10" s="69">
        <v>-10690</v>
      </c>
    </row>
    <row r="11" spans="1:8" x14ac:dyDescent="0.2">
      <c r="A11" s="67" t="s">
        <v>116</v>
      </c>
      <c r="B11" s="67" t="s">
        <v>117</v>
      </c>
      <c r="C11" s="67" t="s">
        <v>118</v>
      </c>
      <c r="D11" s="67" t="s">
        <v>119</v>
      </c>
      <c r="E11" s="67" t="s">
        <v>120</v>
      </c>
      <c r="F11" s="67" t="s">
        <v>117</v>
      </c>
      <c r="G11" s="67" t="s">
        <v>109</v>
      </c>
      <c r="H11" s="69">
        <v>105057.8</v>
      </c>
    </row>
    <row r="12" spans="1:8" x14ac:dyDescent="0.2">
      <c r="A12" s="67" t="s">
        <v>121</v>
      </c>
      <c r="B12" s="67" t="s">
        <v>122</v>
      </c>
      <c r="C12" s="67" t="s">
        <v>118</v>
      </c>
      <c r="D12" s="67" t="s">
        <v>123</v>
      </c>
      <c r="E12" s="67" t="s">
        <v>124</v>
      </c>
      <c r="F12" s="67" t="s">
        <v>125</v>
      </c>
      <c r="G12" s="67" t="s">
        <v>109</v>
      </c>
      <c r="H12" s="69">
        <v>92382</v>
      </c>
    </row>
    <row r="13" spans="1:8" x14ac:dyDescent="0.2">
      <c r="A13" s="67" t="s">
        <v>138</v>
      </c>
      <c r="B13" s="67" t="s">
        <v>139</v>
      </c>
      <c r="C13" s="67" t="s">
        <v>118</v>
      </c>
      <c r="D13" s="67" t="s">
        <v>140</v>
      </c>
      <c r="E13" s="67" t="s">
        <v>141</v>
      </c>
      <c r="F13" s="67" t="s">
        <v>142</v>
      </c>
      <c r="G13" s="67" t="s">
        <v>109</v>
      </c>
      <c r="H13" s="69">
        <v>-90758.3</v>
      </c>
    </row>
  </sheetData>
  <sortState ref="A6:H13">
    <sortCondition ref="C6:C13"/>
    <sortCondition ref="A6:A13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workbookViewId="0">
      <selection activeCell="C12" sqref="C12"/>
    </sheetView>
  </sheetViews>
  <sheetFormatPr defaultRowHeight="12.75" x14ac:dyDescent="0.2"/>
  <cols>
    <col min="1" max="1" width="12.5703125" bestFit="1" customWidth="1"/>
    <col min="2" max="2" width="9" bestFit="1" customWidth="1"/>
    <col min="8" max="8" width="11.42578125" bestFit="1" customWidth="1"/>
  </cols>
  <sheetData>
    <row r="1" spans="1:6" x14ac:dyDescent="0.2">
      <c r="A1" t="s">
        <v>143</v>
      </c>
      <c r="B1" t="s">
        <v>21</v>
      </c>
      <c r="C1" t="s">
        <v>145</v>
      </c>
      <c r="D1" t="s">
        <v>144</v>
      </c>
      <c r="E1" t="s">
        <v>15</v>
      </c>
    </row>
    <row r="2" spans="1:6" x14ac:dyDescent="0.2">
      <c r="A2" t="s">
        <v>109</v>
      </c>
      <c r="C2">
        <v>30050020</v>
      </c>
      <c r="D2">
        <v>46318240</v>
      </c>
    </row>
    <row r="3" spans="1:6" x14ac:dyDescent="0.2">
      <c r="A3" t="s">
        <v>118</v>
      </c>
      <c r="B3">
        <v>5000844</v>
      </c>
      <c r="C3">
        <v>30050020</v>
      </c>
      <c r="D3">
        <v>46318240</v>
      </c>
      <c r="E3">
        <v>5020603</v>
      </c>
      <c r="F3" t="s">
        <v>146</v>
      </c>
    </row>
    <row r="4" spans="1:6" x14ac:dyDescent="0.2">
      <c r="A4" t="s">
        <v>112</v>
      </c>
      <c r="B4">
        <v>5000844</v>
      </c>
      <c r="C4">
        <v>30050020</v>
      </c>
      <c r="D4">
        <v>46318240</v>
      </c>
      <c r="E4">
        <v>5030053</v>
      </c>
      <c r="F4" t="s">
        <v>147</v>
      </c>
    </row>
    <row r="5" spans="1:6" x14ac:dyDescent="0.2">
      <c r="A5" t="s">
        <v>106</v>
      </c>
      <c r="B5">
        <v>5000844</v>
      </c>
      <c r="C5">
        <v>30050020</v>
      </c>
      <c r="D5">
        <v>46318240</v>
      </c>
      <c r="E5">
        <v>5030039</v>
      </c>
      <c r="F5" t="s">
        <v>148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53A5767-F222-48A2-9AC0-7D9EC8650A35}">
  <ds:schemaRefs>
    <ds:schemaRef ds:uri="http://www.sap.com/ip/bi/bexanalyzer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Parameter</vt:lpstr>
      <vt:lpstr>Data_Pivot</vt:lpstr>
      <vt:lpstr>Data</vt:lpstr>
      <vt:lpstr>Basis</vt:lpstr>
      <vt:lpstr>Sheet2</vt:lpstr>
      <vt:lpstr>Data!Print_Area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 Treiber</dc:creator>
  <cp:lastModifiedBy>hmun</cp:lastModifiedBy>
  <cp:revision>1</cp:revision>
  <cp:lastPrinted>2007-04-02T07:51:09Z</cp:lastPrinted>
  <dcterms:created xsi:type="dcterms:W3CDTF">1998-07-09T11:40:40Z</dcterms:created>
  <dcterms:modified xsi:type="dcterms:W3CDTF">2016-10-01T14:42:00Z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1702921436</vt:i4>
  </property>
  <property fmtid="{D5CDD505-2E9C-101B-9397-08002B2CF9AE}" pid="3" name="_NewReviewCycle">
    <vt:lpwstr/>
  </property>
  <property fmtid="{D5CDD505-2E9C-101B-9397-08002B2CF9AE}" pid="4" name="_EmailSubject">
    <vt:lpwstr>Datenmigrations Excel Template mit Ledgergroup</vt:lpwstr>
  </property>
  <property fmtid="{D5CDD505-2E9C-101B-9397-08002B2CF9AE}" pid="5" name="_AuthorEmail">
    <vt:lpwstr>stefan-klaus.mueller@magnasteyr.com</vt:lpwstr>
  </property>
  <property fmtid="{D5CDD505-2E9C-101B-9397-08002B2CF9AE}" pid="6" name="_AuthorEmailDisplayName">
    <vt:lpwstr>Mueller Stefan-Klaus, FF (MSF)</vt:lpwstr>
  </property>
  <property fmtid="{D5CDD505-2E9C-101B-9397-08002B2CF9AE}" pid="7" name="_ReviewingToolsShownOnce">
    <vt:lpwstr/>
  </property>
  <property fmtid="{D5CDD505-2E9C-101B-9397-08002B2CF9AE}" pid="8" name="BExAnalyzer_OldName">
    <vt:lpwstr>SAP_AccDoc_Reclassification_Aquisition_Functional_Area_201607_V24.xlsm</vt:lpwstr>
  </property>
</Properties>
</file>